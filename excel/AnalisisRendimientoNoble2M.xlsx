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ción completa" sheetId="1" state="visible" r:id="rId3"/>
    <sheet name="Gráficas SpeedUp" sheetId="2" state="visible" r:id="rId4"/>
    <sheet name="Gráficas Tiemp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<sst xmlns="http://schemas.openxmlformats.org/spreadsheetml/2006/main" count="444" uniqueCount="69">
  <si>
    <t xml:space="preserve">FORK  F X C</t>
  </si>
  <si>
    <t xml:space="preserve">MATRIZ 600 X 600</t>
  </si>
  <si>
    <t xml:space="preserve">1 hilo</t>
  </si>
  <si>
    <t xml:space="preserve">2 hilos</t>
  </si>
  <si>
    <t xml:space="preserve">4 hilos</t>
  </si>
  <si>
    <t xml:space="preserve">8 hilos</t>
  </si>
  <si>
    <t xml:space="preserve">12 hilos</t>
  </si>
  <si>
    <t xml:space="preserve">32 hilos</t>
  </si>
  <si>
    <t xml:space="preserve">MATRIZ 1200 x 1200</t>
  </si>
  <si>
    <t xml:space="preserve">MATRIZ 1800  x 1800</t>
  </si>
  <si>
    <t xml:space="preserve">MATRIZ 2400 x 2400</t>
  </si>
  <si>
    <t xml:space="preserve">Repetición #1</t>
  </si>
  <si>
    <t xml:space="preserve">Repetición #2</t>
  </si>
  <si>
    <t xml:space="preserve">Repetición #3</t>
  </si>
  <si>
    <t xml:space="preserve">Repetición #4</t>
  </si>
  <si>
    <t xml:space="preserve">Repetición #5</t>
  </si>
  <si>
    <t xml:space="preserve">Repetición #6</t>
  </si>
  <si>
    <t xml:space="preserve">Repetición #7</t>
  </si>
  <si>
    <t xml:space="preserve">Repetición #8</t>
  </si>
  <si>
    <t xml:space="preserve">Repetición #9</t>
  </si>
  <si>
    <t xml:space="preserve">Repetición #10</t>
  </si>
  <si>
    <t xml:space="preserve">Repetición #11</t>
  </si>
  <si>
    <t xml:space="preserve">Repetición #12</t>
  </si>
  <si>
    <t xml:space="preserve">Repetición #13</t>
  </si>
  <si>
    <t xml:space="preserve">Repetición #14</t>
  </si>
  <si>
    <t xml:space="preserve">Repetición #15</t>
  </si>
  <si>
    <t xml:space="preserve">Repetición #16</t>
  </si>
  <si>
    <t xml:space="preserve">Repetición #17</t>
  </si>
  <si>
    <t xml:space="preserve">Repetición #18</t>
  </si>
  <si>
    <t xml:space="preserve">Repetición #19</t>
  </si>
  <si>
    <t xml:space="preserve">Repetición #20</t>
  </si>
  <si>
    <t xml:space="preserve">Repetición #21</t>
  </si>
  <si>
    <t xml:space="preserve">Repetición #22</t>
  </si>
  <si>
    <t xml:space="preserve">Repetición #23</t>
  </si>
  <si>
    <t xml:space="preserve">Repetición #24</t>
  </si>
  <si>
    <t xml:space="preserve">Repetición #25</t>
  </si>
  <si>
    <t xml:space="preserve">Repetición #26</t>
  </si>
  <si>
    <t xml:space="preserve">Repetición #27</t>
  </si>
  <si>
    <t xml:space="preserve">Repetición #28</t>
  </si>
  <si>
    <t xml:space="preserve">Repetición #29</t>
  </si>
  <si>
    <t xml:space="preserve">Repetición #30</t>
  </si>
  <si>
    <t xml:space="preserve">PROMEDIO</t>
  </si>
  <si>
    <t xml:space="preserve">FORK F X T</t>
  </si>
  <si>
    <t xml:space="preserve">MATRIZ 1800 x 1800</t>
  </si>
  <si>
    <t xml:space="preserve">POSIX F X C</t>
  </si>
  <si>
    <t xml:space="preserve">MATRIZ 4800 x 4800</t>
  </si>
  <si>
    <t xml:space="preserve">POSIX F X T</t>
  </si>
  <si>
    <t xml:space="preserve">Fork F x C</t>
  </si>
  <si>
    <t xml:space="preserve"># Hilos</t>
  </si>
  <si>
    <t xml:space="preserve">SpeedUp Matrices 600 x 600</t>
  </si>
  <si>
    <t xml:space="preserve">Speed Up Promedio</t>
  </si>
  <si>
    <t xml:space="preserve">Promedio Matrices 600 x 600</t>
  </si>
  <si>
    <t xml:space="preserve">SpeedUp Matrices 1200 x 1200</t>
  </si>
  <si>
    <t xml:space="preserve">Promedio Matrices 1200 x 1200</t>
  </si>
  <si>
    <t xml:space="preserve">SpeedUp Matrices 1800 x 1800</t>
  </si>
  <si>
    <t xml:space="preserve">Promedio Matrices 1800 x 1800</t>
  </si>
  <si>
    <t xml:space="preserve">SpeedUp Matrices 2400 x 2400</t>
  </si>
  <si>
    <t xml:space="preserve">Promedio Matrices 2400 x 2400</t>
  </si>
  <si>
    <t xml:space="preserve">Fork  F x T</t>
  </si>
  <si>
    <t xml:space="preserve">SpeedUp Matrices 4800 x 4800</t>
  </si>
  <si>
    <t xml:space="preserve">Promedio Matrices 4800 x 4800</t>
  </si>
  <si>
    <t xml:space="preserve">Posix F x C</t>
  </si>
  <si>
    <t xml:space="preserve">Posix F x T</t>
  </si>
  <si>
    <t xml:space="preserve">MATRICES 600 X 600</t>
  </si>
  <si>
    <t xml:space="preserve">Algoritmo</t>
  </si>
  <si>
    <t xml:space="preserve">Fork F x T</t>
  </si>
  <si>
    <t xml:space="preserve">MATRICES 1200 X 1200</t>
  </si>
  <si>
    <t xml:space="preserve">MATRICES 1800 X 1800</t>
  </si>
  <si>
    <t xml:space="preserve">MATRICES 4800 X 4800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</si>
</sst>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8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i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  <font>
      <b val="true"/>
      <i val="true"/>
      <sz val="11"/>
      <color rgb="FFFF0000"/>
      <name val="Aptos Narrow"/>
      <family val="2"/>
      <charset val="1"/>
    </font>
    <font>
      <sz val="14"/>
      <color rgb="FF595959"/>
      <name val="Aptos Narrow"/>
      <family val="2"/>
    </font>
    <font>
      <sz val="9"/>
      <color rgb="FF404040"/>
      <name val="Aptos Narrow"/>
      <family val="2"/>
    </font>
    <font>
      <sz val="9"/>
      <color rgb="FF595959"/>
      <name val="Aptos Narrow"/>
      <family val="2"/>
    </font>
    <font>
      <b val="true"/>
      <sz val="11"/>
      <color theme="1"/>
      <name val="Aptos Narrow"/>
      <family val="2"/>
      <charset val="1"/>
    </font>
    <font>
      <sz val="16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196B24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>
        <color theme="1" tint="0.0499"/>
      </left>
      <right/>
      <top style="medium">
        <color theme="1" tint="0.0499"/>
      </top>
      <bottom/>
      <diagonal/>
    </border>
    <border diagonalUp="false" diagonalDown="false">
      <left/>
      <right/>
      <top style="medium">
        <color theme="1" tint="0.0499"/>
      </top>
      <bottom/>
      <diagonal/>
    </border>
    <border diagonalUp="false" diagonalDown="false">
      <left/>
      <right style="medium">
        <color theme="1" tint="0.0499"/>
      </right>
      <top style="medium">
        <color theme="1" tint="0.0499"/>
      </top>
      <bottom/>
      <diagonal/>
    </border>
    <border diagonalUp="false" diagonalDown="false">
      <left style="medium">
        <color theme="1" tint="0.0499"/>
      </left>
      <right/>
      <top/>
      <bottom/>
      <diagonal/>
    </border>
    <border diagonalUp="false" diagonalDown="false">
      <left/>
      <right style="medium">
        <color theme="1" tint="0.0499"/>
      </right>
      <top/>
      <bottom/>
      <diagonal/>
    </border>
    <border diagonalUp="false" diagonalDown="false">
      <left style="medium">
        <color theme="1" tint="0.0499"/>
      </left>
      <right/>
      <top/>
      <bottom style="medium">
        <color theme="1" tint="0.0499"/>
      </bottom>
      <diagonal/>
    </border>
    <border diagonalUp="false" diagonalDown="false">
      <left/>
      <right/>
      <top/>
      <bottom style="medium">
        <color theme="1" tint="0.0499"/>
      </bottom>
      <diagonal/>
    </border>
    <border diagonalUp="false" diagonalDown="false">
      <left/>
      <right style="medium">
        <color theme="1" tint="0.0499"/>
      </right>
      <top/>
      <bottom style="medium">
        <color theme="1" tint="0.0499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45" wrapText="false" indent="0" shrinkToFit="false"/>
      <protection locked="true" hidden="false"/>
    </xf>
    <xf numFmtId="165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1.92000740029832</c:v>
                </c:pt>
                <c:pt idx="2">
                  <c:v>3.39615077823001</c:v>
                </c:pt>
                <c:pt idx="3">
                  <c:v>5.92922692376361</c:v>
                </c:pt>
                <c:pt idx="4">
                  <c:v>5.71239851382964</c:v>
                </c:pt>
                <c:pt idx="5">
                  <c:v>4.94779499404053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278201"/>
        <c:axId val="85428179"/>
      </c:lineChart>
      <c:catAx>
        <c:axId val="542782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5428179"/>
        <c:crosses val="autoZero"/>
        <c:auto val="1"/>
        <c:lblAlgn val="ctr"/>
        <c:lblOffset val="100"/>
        <c:noMultiLvlLbl val="0"/>
      </c:catAx>
      <c:valAx>
        <c:axId val="854281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42782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1.89934852284046</c:v>
                </c:pt>
                <c:pt idx="2">
                  <c:v>3.41600217470098</c:v>
                </c:pt>
                <c:pt idx="3">
                  <c:v>6.03171627248672</c:v>
                </c:pt>
                <c:pt idx="4">
                  <c:v>5.0097485348235</c:v>
                </c:pt>
                <c:pt idx="5">
                  <c:v>3.64084601212409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45173"/>
        <c:axId val="8988536"/>
      </c:lineChart>
      <c:catAx>
        <c:axId val="61451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988536"/>
        <c:crosses val="autoZero"/>
        <c:auto val="1"/>
        <c:lblAlgn val="ctr"/>
        <c:lblOffset val="100"/>
        <c:noMultiLvlLbl val="0"/>
      </c:catAx>
      <c:valAx>
        <c:axId val="89885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145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1.66329922171646</c:v>
                </c:pt>
                <c:pt idx="2">
                  <c:v>3.08024000908223</c:v>
                </c:pt>
                <c:pt idx="3">
                  <c:v>5.41053090973284</c:v>
                </c:pt>
                <c:pt idx="4">
                  <c:v>4.89764254864565</c:v>
                </c:pt>
                <c:pt idx="5">
                  <c:v>3.50097569385318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246164"/>
        <c:axId val="16971052"/>
      </c:lineChart>
      <c:catAx>
        <c:axId val="552461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6971052"/>
        <c:crosses val="autoZero"/>
        <c:auto val="1"/>
        <c:lblAlgn val="ctr"/>
        <c:lblOffset val="100"/>
        <c:noMultiLvlLbl val="0"/>
      </c:catAx>
      <c:valAx>
        <c:axId val="169710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2461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0.031151354045522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1.93844169559487</c:v>
                </c:pt>
                <c:pt idx="2">
                  <c:v>3.53139276089711</c:v>
                </c:pt>
                <c:pt idx="3">
                  <c:v>5.99233277920462</c:v>
                </c:pt>
                <c:pt idx="4">
                  <c:v>5.85393484145164</c:v>
                </c:pt>
                <c:pt idx="5">
                  <c:v>5.61377622713496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067226"/>
        <c:axId val="52656661"/>
      </c:lineChart>
      <c:catAx>
        <c:axId val="69067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2656661"/>
        <c:crosses val="autoZero"/>
        <c:auto val="1"/>
        <c:lblAlgn val="ctr"/>
        <c:lblOffset val="100"/>
        <c:noMultiLvlLbl val="0"/>
      </c:catAx>
      <c:valAx>
        <c:axId val="526566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90672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1"/>
          <c:y val="0.13931250515209"/>
          <c:w val="0.779360667129951"/>
          <c:h val="0.72121012282581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ff0000"/>
            </a:solidFill>
            <a:ln cap="rnd" w="2844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1.85527421011253</c:v>
                </c:pt>
                <c:pt idx="3">
                  <c:v>3.35594643072758</c:v>
                </c:pt>
                <c:pt idx="4">
                  <c:v>5.84095172129695</c:v>
                </c:pt>
                <c:pt idx="5">
                  <c:v>5.36843110968761</c:v>
                </c:pt>
                <c:pt idx="6">
                  <c:v>4.42584823178819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2906500"/>
        <c:axId val="57897694"/>
      </c:lineChart>
      <c:catAx>
        <c:axId val="929065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7897694"/>
        <c:crosses val="autoZero"/>
        <c:auto val="1"/>
        <c:lblAlgn val="ctr"/>
        <c:lblOffset val="100"/>
        <c:noMultiLvlLbl val="0"/>
      </c:catAx>
      <c:valAx>
        <c:axId val="578976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2906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1.9317317684455</c:v>
                </c:pt>
                <c:pt idx="2">
                  <c:v>3.62582036807563</c:v>
                </c:pt>
                <c:pt idx="3">
                  <c:v>6.30058218358721</c:v>
                </c:pt>
                <c:pt idx="4">
                  <c:v>7.73629063846455</c:v>
                </c:pt>
                <c:pt idx="5">
                  <c:v>5.71884613992544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021151"/>
        <c:axId val="49812165"/>
      </c:lineChart>
      <c:catAx>
        <c:axId val="40021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812165"/>
        <c:crosses val="autoZero"/>
        <c:auto val="1"/>
        <c:lblAlgn val="ctr"/>
        <c:lblOffset val="100"/>
        <c:noMultiLvlLbl val="0"/>
      </c:catAx>
      <c:valAx>
        <c:axId val="498121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00211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1.93790585332568</c:v>
                </c:pt>
                <c:pt idx="2">
                  <c:v>3.68070436436981</c:v>
                </c:pt>
                <c:pt idx="3">
                  <c:v>6.52030793869608</c:v>
                </c:pt>
                <c:pt idx="4">
                  <c:v>8.01989178271765</c:v>
                </c:pt>
                <c:pt idx="5">
                  <c:v>7.86491542312889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349342"/>
        <c:axId val="1357772"/>
      </c:lineChart>
      <c:catAx>
        <c:axId val="693493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357772"/>
        <c:crosses val="autoZero"/>
        <c:auto val="1"/>
        <c:lblAlgn val="ctr"/>
        <c:lblOffset val="100"/>
        <c:noMultiLvlLbl val="0"/>
      </c:catAx>
      <c:valAx>
        <c:axId val="13577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93493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1.91617957093448</c:v>
                </c:pt>
                <c:pt idx="2">
                  <c:v>3.58803497215324</c:v>
                </c:pt>
                <c:pt idx="3">
                  <c:v>6.31487194847986</c:v>
                </c:pt>
                <c:pt idx="4">
                  <c:v>8.04479890101504</c:v>
                </c:pt>
                <c:pt idx="5">
                  <c:v>8.37199565824159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753090"/>
        <c:axId val="43314581"/>
      </c:lineChart>
      <c:catAx>
        <c:axId val="657530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3314581"/>
        <c:crosses val="autoZero"/>
        <c:auto val="1"/>
        <c:lblAlgn val="ctr"/>
        <c:lblOffset val="100"/>
        <c:noMultiLvlLbl val="0"/>
      </c:catAx>
      <c:valAx>
        <c:axId val="433145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57530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1.90626150510779</c:v>
                </c:pt>
                <c:pt idx="2">
                  <c:v>3.55116851909096</c:v>
                </c:pt>
                <c:pt idx="3">
                  <c:v>6.25485816527241</c:v>
                </c:pt>
                <c:pt idx="4">
                  <c:v>8.19843291347632</c:v>
                </c:pt>
                <c:pt idx="5">
                  <c:v>7.39615041070459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28767"/>
        <c:axId val="42945424"/>
      </c:lineChart>
      <c:catAx>
        <c:axId val="31287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2945424"/>
        <c:crosses val="autoZero"/>
        <c:auto val="1"/>
        <c:lblAlgn val="ctr"/>
        <c:lblOffset val="100"/>
        <c:noMultiLvlLbl val="0"/>
      </c:catAx>
      <c:valAx>
        <c:axId val="429454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1287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1.92301967445337</c:v>
                </c:pt>
                <c:pt idx="3">
                  <c:v>3.61143205592241</c:v>
                </c:pt>
                <c:pt idx="4">
                  <c:v>6.34765505900889</c:v>
                </c:pt>
                <c:pt idx="5">
                  <c:v>7.99985355891839</c:v>
                </c:pt>
                <c:pt idx="6">
                  <c:v>7.33797690800013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116743"/>
        <c:axId val="46441466"/>
      </c:lineChart>
      <c:catAx>
        <c:axId val="521167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441466"/>
        <c:crosses val="autoZero"/>
        <c:auto val="1"/>
        <c:lblAlgn val="ctr"/>
        <c:lblOffset val="100"/>
        <c:noMultiLvlLbl val="0"/>
      </c:catAx>
      <c:valAx>
        <c:axId val="464414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21167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1.93047337278107</c:v>
                </c:pt>
                <c:pt idx="2">
                  <c:v>3.51596660924871</c:v>
                </c:pt>
                <c:pt idx="3">
                  <c:v>6.12676056338028</c:v>
                </c:pt>
                <c:pt idx="4">
                  <c:v>5.99254742547426</c:v>
                </c:pt>
                <c:pt idx="5">
                  <c:v>6.69652996845426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495810"/>
        <c:axId val="61906603"/>
      </c:lineChart>
      <c:catAx>
        <c:axId val="49495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1906603"/>
        <c:crosses val="autoZero"/>
        <c:auto val="1"/>
        <c:lblAlgn val="ctr"/>
        <c:lblOffset val="100"/>
        <c:noMultiLvlLbl val="0"/>
      </c:catAx>
      <c:valAx>
        <c:axId val="619066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495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6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1.93431959708695</c:v>
                </c:pt>
                <c:pt idx="2">
                  <c:v>3.49477799128687</c:v>
                </c:pt>
                <c:pt idx="3">
                  <c:v>6.26678269408655</c:v>
                </c:pt>
                <c:pt idx="4">
                  <c:v>4.93738709955962</c:v>
                </c:pt>
                <c:pt idx="5">
                  <c:v>3.7067403435257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8616"/>
        <c:axId val="37511002"/>
      </c:lineChart>
      <c:catAx>
        <c:axId val="478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7511002"/>
        <c:crosses val="autoZero"/>
        <c:auto val="1"/>
        <c:lblAlgn val="ctr"/>
        <c:lblOffset val="100"/>
        <c:noMultiLvlLbl val="0"/>
      </c:catAx>
      <c:valAx>
        <c:axId val="37511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86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1.65124812862481</c:v>
                </c:pt>
                <c:pt idx="2">
                  <c:v>3.03156643113719</c:v>
                </c:pt>
                <c:pt idx="3">
                  <c:v>5.30924262061132</c:v>
                </c:pt>
                <c:pt idx="4">
                  <c:v>4.8194094190393</c:v>
                </c:pt>
                <c:pt idx="5">
                  <c:v>3.5881527020067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370466"/>
        <c:axId val="49290297"/>
      </c:lineChart>
      <c:catAx>
        <c:axId val="423704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9290297"/>
        <c:crosses val="autoZero"/>
        <c:auto val="1"/>
        <c:lblAlgn val="ctr"/>
        <c:lblOffset val="100"/>
        <c:noMultiLvlLbl val="0"/>
      </c:catAx>
      <c:valAx>
        <c:axId val="492902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2370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308855291577"/>
          <c:w val="0.779374275782155"/>
          <c:h val="0.72121614886193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1.93055363438993</c:v>
                </c:pt>
                <c:pt idx="2">
                  <c:v>3.49248939975264</c:v>
                </c:pt>
                <c:pt idx="3">
                  <c:v>5.90809865768689</c:v>
                </c:pt>
                <c:pt idx="4">
                  <c:v>5.88272066839733</c:v>
                </c:pt>
                <c:pt idx="5">
                  <c:v>5.77676113702369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830294"/>
        <c:axId val="98942480"/>
      </c:lineChart>
      <c:catAx>
        <c:axId val="59830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8942480"/>
        <c:crosses val="autoZero"/>
        <c:auto val="1"/>
        <c:lblAlgn val="ctr"/>
        <c:lblOffset val="100"/>
        <c:noMultiLvlLbl val="0"/>
      </c:catAx>
      <c:valAx>
        <c:axId val="989424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98302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5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1.86164868322069</c:v>
                </c:pt>
                <c:pt idx="3">
                  <c:v>3.38370010785635</c:v>
                </c:pt>
                <c:pt idx="4">
                  <c:v>5.90272113394126</c:v>
                </c:pt>
                <c:pt idx="5">
                  <c:v>5.40801615311763</c:v>
                </c:pt>
                <c:pt idx="6">
                  <c:v>4.94204603775259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0386538"/>
        <c:axId val="48805994"/>
      </c:lineChart>
      <c:catAx>
        <c:axId val="703865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8805994"/>
        <c:crosses val="autoZero"/>
        <c:auto val="1"/>
        <c:lblAlgn val="ctr"/>
        <c:lblOffset val="100"/>
        <c:noMultiLvlLbl val="0"/>
      </c:catAx>
      <c:valAx>
        <c:axId val="488059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03865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"/>
          <c:y val="0.139266755142668"/>
          <c:w val="0.779381367193267"/>
          <c:h val="0.72121765096217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1.93510829764786</c:v>
                </c:pt>
                <c:pt idx="2">
                  <c:v>3.68284040442219</c:v>
                </c:pt>
                <c:pt idx="3">
                  <c:v>6.67046037994181</c:v>
                </c:pt>
                <c:pt idx="4">
                  <c:v>8.84550354609929</c:v>
                </c:pt>
                <c:pt idx="5">
                  <c:v>8.84349651143003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082378"/>
        <c:axId val="20616917"/>
      </c:lineChart>
      <c:catAx>
        <c:axId val="220823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0616917"/>
        <c:crosses val="autoZero"/>
        <c:auto val="1"/>
        <c:lblAlgn val="ctr"/>
        <c:lblOffset val="100"/>
        <c:noMultiLvlLbl val="0"/>
      </c:catAx>
      <c:valAx>
        <c:axId val="206169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082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"/>
          <c:w val="0.779369185036482"/>
          <c:h val="0.72115783362362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1.93547625783476</c:v>
                </c:pt>
                <c:pt idx="2">
                  <c:v>3.63051880608197</c:v>
                </c:pt>
                <c:pt idx="3">
                  <c:v>6.51855173186863</c:v>
                </c:pt>
                <c:pt idx="4">
                  <c:v>8.23391150442478</c:v>
                </c:pt>
                <c:pt idx="5">
                  <c:v>9.43719571567673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795289"/>
        <c:axId val="33254228"/>
      </c:lineChart>
      <c:catAx>
        <c:axId val="807952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254228"/>
        <c:crosses val="autoZero"/>
        <c:auto val="1"/>
        <c:lblAlgn val="ctr"/>
        <c:lblOffset val="100"/>
        <c:noMultiLvlLbl val="0"/>
      </c:catAx>
      <c:valAx>
        <c:axId val="332542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07952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8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1.93552245335129</c:v>
                </c:pt>
                <c:pt idx="2">
                  <c:v>3.57682048353749</c:v>
                </c:pt>
                <c:pt idx="3">
                  <c:v>6.43126634884653</c:v>
                </c:pt>
                <c:pt idx="4">
                  <c:v>8.39169244432402</c:v>
                </c:pt>
                <c:pt idx="5">
                  <c:v>9.16740699325998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068603"/>
        <c:axId val="39071546"/>
      </c:lineChart>
      <c:catAx>
        <c:axId val="430686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9071546"/>
        <c:crosses val="autoZero"/>
        <c:auto val="1"/>
        <c:lblAlgn val="ctr"/>
        <c:lblOffset val="100"/>
        <c:noMultiLvlLbl val="0"/>
      </c:catAx>
      <c:valAx>
        <c:axId val="390715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30686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9"/>
          <c:y val="0.038707533848326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5"/>
          <c:y val="0.13929728382756"/>
          <c:w val="0.779374275782155"/>
          <c:h val="0.72123930559016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1.90597080440739</c:v>
                </c:pt>
                <c:pt idx="2">
                  <c:v>3.54012198804599</c:v>
                </c:pt>
                <c:pt idx="3">
                  <c:v>6.2919148374688</c:v>
                </c:pt>
                <c:pt idx="4">
                  <c:v>8.31260443757617</c:v>
                </c:pt>
                <c:pt idx="5">
                  <c:v>7.82209575378359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979473"/>
        <c:axId val="78318864"/>
      </c:lineChart>
      <c:catAx>
        <c:axId val="469794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318864"/>
        <c:crosses val="autoZero"/>
        <c:auto val="1"/>
        <c:lblAlgn val="ctr"/>
        <c:lblOffset val="100"/>
        <c:noMultiLvlLbl val="0"/>
      </c:catAx>
      <c:valAx>
        <c:axId val="783188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6979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"/>
          <c:w val="0.779369185036482"/>
          <c:h val="0.72123310253874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Aptos Narrow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0">
                  <c:v/>
                </c:pt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1.92801945331033</c:v>
                </c:pt>
                <c:pt idx="3">
                  <c:v>3.60757542052191</c:v>
                </c:pt>
                <c:pt idx="4">
                  <c:v>6.47804832453144</c:v>
                </c:pt>
                <c:pt idx="5">
                  <c:v>8.44592798310607</c:v>
                </c:pt>
                <c:pt idx="6">
                  <c:v>8.81754874353758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865529"/>
        <c:axId val="97383177"/>
      </c:lineChart>
      <c:catAx>
        <c:axId val="478655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7383177"/>
        <c:crosses val="autoZero"/>
        <c:auto val="1"/>
        <c:lblAlgn val="ctr"/>
        <c:lblOffset val="100"/>
        <c:noMultiLvlLbl val="0"/>
      </c:catAx>
      <c:valAx>
        <c:axId val="973831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8655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166048</c:v>
                </c:pt>
                <c:pt idx="1">
                  <c:v>86483</c:v>
                </c:pt>
                <c:pt idx="2">
                  <c:v>48893</c:v>
                </c:pt>
                <c:pt idx="3">
                  <c:v>28005</c:v>
                </c:pt>
                <c:pt idx="4">
                  <c:v>29068</c:v>
                </c:pt>
                <c:pt idx="5">
                  <c:v>33560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158006</c:v>
                </c:pt>
                <c:pt idx="1">
                  <c:v>81795</c:v>
                </c:pt>
                <c:pt idx="2">
                  <c:v>43578</c:v>
                </c:pt>
                <c:pt idx="3">
                  <c:v>25078</c:v>
                </c:pt>
                <c:pt idx="4">
                  <c:v>20424</c:v>
                </c:pt>
                <c:pt idx="5">
                  <c:v>27629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159210</c:v>
                </c:pt>
                <c:pt idx="1">
                  <c:v>82472</c:v>
                </c:pt>
                <c:pt idx="2">
                  <c:v>45282</c:v>
                </c:pt>
                <c:pt idx="3">
                  <c:v>25986</c:v>
                </c:pt>
                <c:pt idx="4">
                  <c:v>26568</c:v>
                </c:pt>
                <c:pt idx="5">
                  <c:v>23775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155902</c:v>
                </c:pt>
                <c:pt idx="1">
                  <c:v>80565</c:v>
                </c:pt>
                <c:pt idx="2">
                  <c:v>42332</c:v>
                </c:pt>
                <c:pt idx="3">
                  <c:v>23372</c:v>
                </c:pt>
                <c:pt idx="4">
                  <c:v>17625</c:v>
                </c:pt>
                <c:pt idx="5">
                  <c:v>17629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30766"/>
        <c:axId val="85116540"/>
      </c:lineChart>
      <c:catAx>
        <c:axId val="83307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5116540"/>
        <c:crosses val="autoZero"/>
        <c:auto val="1"/>
        <c:lblAlgn val="ctr"/>
        <c:lblOffset val="100"/>
        <c:noMultiLvlLbl val="0"/>
      </c:catAx>
      <c:valAx>
        <c:axId val="851165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3307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4"/>
          <c:h val="0.7211935730680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1470261</c:v>
                </c:pt>
                <c:pt idx="1">
                  <c:v>774087</c:v>
                </c:pt>
                <c:pt idx="2">
                  <c:v>430404</c:v>
                </c:pt>
                <c:pt idx="3">
                  <c:v>243755</c:v>
                </c:pt>
                <c:pt idx="4">
                  <c:v>293480</c:v>
                </c:pt>
                <c:pt idx="5">
                  <c:v>403824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1286535</c:v>
                </c:pt>
                <c:pt idx="1">
                  <c:v>663879</c:v>
                </c:pt>
                <c:pt idx="2">
                  <c:v>349535</c:v>
                </c:pt>
                <c:pt idx="3">
                  <c:v>197312</c:v>
                </c:pt>
                <c:pt idx="4">
                  <c:v>160418</c:v>
                </c:pt>
                <c:pt idx="5">
                  <c:v>163579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070c0"/>
            </a:solidFill>
            <a:ln cap="rnd" w="28440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1429497</c:v>
                </c:pt>
                <c:pt idx="1">
                  <c:v>739018</c:v>
                </c:pt>
                <c:pt idx="2">
                  <c:v>409038</c:v>
                </c:pt>
                <c:pt idx="3">
                  <c:v>228107</c:v>
                </c:pt>
                <c:pt idx="4">
                  <c:v>289525</c:v>
                </c:pt>
                <c:pt idx="5">
                  <c:v>385648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1279344</c:v>
                </c:pt>
                <c:pt idx="1">
                  <c:v>660997</c:v>
                </c:pt>
                <c:pt idx="2">
                  <c:v>352386</c:v>
                </c:pt>
                <c:pt idx="3">
                  <c:v>196262</c:v>
                </c:pt>
                <c:pt idx="4">
                  <c:v>155375</c:v>
                </c:pt>
                <c:pt idx="5">
                  <c:v>135564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648043"/>
        <c:axId val="5586323"/>
      </c:lineChart>
      <c:catAx>
        <c:axId val="456480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586323"/>
        <c:crosses val="autoZero"/>
        <c:auto val="1"/>
        <c:lblAlgn val="ctr"/>
        <c:lblOffset val="100"/>
        <c:noMultiLvlLbl val="0"/>
      </c:catAx>
      <c:valAx>
        <c:axId val="55863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648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4ea72e"/>
            </a:solidFill>
            <a:ln cap="rnd" w="28440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6620212</c:v>
                </c:pt>
                <c:pt idx="1">
                  <c:v>3980169</c:v>
                </c:pt>
                <c:pt idx="2">
                  <c:v>2149252</c:v>
                </c:pt>
                <c:pt idx="3">
                  <c:v>1223579</c:v>
                </c:pt>
                <c:pt idx="4">
                  <c:v>1351714</c:v>
                </c:pt>
                <c:pt idx="5">
                  <c:v>1890962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4427262</c:v>
                </c:pt>
                <c:pt idx="1">
                  <c:v>2310463</c:v>
                </c:pt>
                <c:pt idx="2">
                  <c:v>1233896</c:v>
                </c:pt>
                <c:pt idx="3">
                  <c:v>701085</c:v>
                </c:pt>
                <c:pt idx="4">
                  <c:v>550326</c:v>
                </c:pt>
                <c:pt idx="5">
                  <c:v>528818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6562638</c:v>
                </c:pt>
                <c:pt idx="1">
                  <c:v>3974350</c:v>
                </c:pt>
                <c:pt idx="2">
                  <c:v>2164768</c:v>
                </c:pt>
                <c:pt idx="3">
                  <c:v>1236078</c:v>
                </c:pt>
                <c:pt idx="4">
                  <c:v>1361710</c:v>
                </c:pt>
                <c:pt idx="5">
                  <c:v>1828974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2f641c"/>
            </a:solidFill>
            <a:ln cap="rnd" w="28440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4459916</c:v>
                </c:pt>
                <c:pt idx="1">
                  <c:v>2304244</c:v>
                </c:pt>
                <c:pt idx="2">
                  <c:v>1246894</c:v>
                </c:pt>
                <c:pt idx="3">
                  <c:v>693474</c:v>
                </c:pt>
                <c:pt idx="4">
                  <c:v>531468</c:v>
                </c:pt>
                <c:pt idx="5">
                  <c:v>486497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951828"/>
        <c:axId val="95788383"/>
      </c:lineChart>
      <c:catAx>
        <c:axId val="599518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5788383"/>
        <c:crosses val="autoZero"/>
        <c:auto val="1"/>
        <c:lblAlgn val="ctr"/>
        <c:lblOffset val="100"/>
        <c:noMultiLvlLbl val="0"/>
      </c:catAx>
      <c:valAx>
        <c:axId val="957883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99518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6"/>
          <c:w val="0.749916181535554"/>
          <c:h val="0.72121490322087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solidFill>
              <a:srgbClr val="156082"/>
            </a:solidFill>
            <a:ln cap="rnd"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31908429</c:v>
                </c:pt>
                <c:pt idx="1">
                  <c:v>16460866</c:v>
                </c:pt>
                <c:pt idx="2">
                  <c:v>9035650</c:v>
                </c:pt>
                <c:pt idx="3">
                  <c:v>5324876</c:v>
                </c:pt>
                <c:pt idx="4">
                  <c:v>5450766</c:v>
                </c:pt>
                <c:pt idx="5">
                  <c:v>5683951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10557450</c:v>
                </c:pt>
                <c:pt idx="1">
                  <c:v>5538301</c:v>
                </c:pt>
                <c:pt idx="2">
                  <c:v>2972951</c:v>
                </c:pt>
                <c:pt idx="3">
                  <c:v>1687880</c:v>
                </c:pt>
                <c:pt idx="4">
                  <c:v>1287740</c:v>
                </c:pt>
                <c:pt idx="5">
                  <c:v>1427425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solidFill>
              <a:srgbClr val="196b24"/>
            </a:solidFill>
            <a:ln cap="rnd" w="28440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31863280</c:v>
                </c:pt>
                <c:pt idx="1">
                  <c:v>16504737</c:v>
                </c:pt>
                <c:pt idx="2">
                  <c:v>9123372</c:v>
                </c:pt>
                <c:pt idx="3">
                  <c:v>5393153</c:v>
                </c:pt>
                <c:pt idx="4">
                  <c:v>5416419</c:v>
                </c:pt>
                <c:pt idx="5">
                  <c:v>5515769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10586002</c:v>
                </c:pt>
                <c:pt idx="1">
                  <c:v>5554126</c:v>
                </c:pt>
                <c:pt idx="2">
                  <c:v>2990293</c:v>
                </c:pt>
                <c:pt idx="3">
                  <c:v>1682477</c:v>
                </c:pt>
                <c:pt idx="4">
                  <c:v>1273488</c:v>
                </c:pt>
                <c:pt idx="5">
                  <c:v>1353346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569062"/>
        <c:axId val="77637348"/>
      </c:lineChart>
      <c:catAx>
        <c:axId val="105690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7637348"/>
        <c:crosses val="autoZero"/>
        <c:auto val="1"/>
        <c:lblAlgn val="ctr"/>
        <c:lblOffset val="100"/>
        <c:noMultiLvlLbl val="0"/>
      </c:catAx>
      <c:valAx>
        <c:axId val="776373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0569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2"/>
          <c:y val="0.126770790558749"/>
          <c:w val="0.122305698982728"/>
          <c:h val="0.73361667355178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6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12240</xdr:colOff>
      <xdr:row>20</xdr:row>
      <xdr:rowOff>39960</xdr:rowOff>
    </xdr:from>
    <xdr:to>
      <xdr:col>11</xdr:col>
      <xdr:colOff>758160</xdr:colOff>
      <xdr:row>44</xdr:row>
      <xdr:rowOff>36360</xdr:rowOff>
    </xdr:to>
    <xdr:graphicFrame>
      <xdr:nvGraphicFramePr>
        <xdr:cNvPr id="0" name="Gráfico 1"/>
        <xdr:cNvGraphicFramePr/>
      </xdr:nvGraphicFramePr>
      <xdr:xfrm>
        <a:off x="1707840" y="39085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23</xdr:col>
      <xdr:colOff>847440</xdr:colOff>
      <xdr:row>44</xdr:row>
      <xdr:rowOff>33480</xdr:rowOff>
    </xdr:to>
    <xdr:graphicFrame>
      <xdr:nvGraphicFramePr>
        <xdr:cNvPr id="1" name="Gráfico 4"/>
        <xdr:cNvGraphicFramePr/>
      </xdr:nvGraphicFramePr>
      <xdr:xfrm>
        <a:off x="12397680" y="39052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11</xdr:col>
      <xdr:colOff>756000</xdr:colOff>
      <xdr:row>69</xdr:row>
      <xdr:rowOff>42120</xdr:rowOff>
    </xdr:to>
    <xdr:graphicFrame>
      <xdr:nvGraphicFramePr>
        <xdr:cNvPr id="2" name="Gráfico 5"/>
        <xdr:cNvGraphicFramePr/>
      </xdr:nvGraphicFramePr>
      <xdr:xfrm>
        <a:off x="1706040" y="84297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23</xdr:col>
      <xdr:colOff>755280</xdr:colOff>
      <xdr:row>69</xdr:row>
      <xdr:rowOff>33480</xdr:rowOff>
    </xdr:to>
    <xdr:graphicFrame>
      <xdr:nvGraphicFramePr>
        <xdr:cNvPr id="3" name="Gráfico 6"/>
        <xdr:cNvGraphicFramePr/>
      </xdr:nvGraphicFramePr>
      <xdr:xfrm>
        <a:off x="12310200" y="843624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35</xdr:col>
      <xdr:colOff>847080</xdr:colOff>
      <xdr:row>57</xdr:row>
      <xdr:rowOff>51480</xdr:rowOff>
    </xdr:to>
    <xdr:graphicFrame>
      <xdr:nvGraphicFramePr>
        <xdr:cNvPr id="4" name="Gráfico 7"/>
        <xdr:cNvGraphicFramePr/>
      </xdr:nvGraphicFramePr>
      <xdr:xfrm>
        <a:off x="22570560" y="6249240"/>
        <a:ext cx="9324360" cy="4366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11</xdr:col>
      <xdr:colOff>758160</xdr:colOff>
      <xdr:row>112</xdr:row>
      <xdr:rowOff>73440</xdr:rowOff>
    </xdr:to>
    <xdr:graphicFrame>
      <xdr:nvGraphicFramePr>
        <xdr:cNvPr id="5" name="Gráfico 8"/>
        <xdr:cNvGraphicFramePr/>
      </xdr:nvGraphicFramePr>
      <xdr:xfrm>
        <a:off x="1707840" y="166816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23</xdr:col>
      <xdr:colOff>847440</xdr:colOff>
      <xdr:row>112</xdr:row>
      <xdr:rowOff>70560</xdr:rowOff>
    </xdr:to>
    <xdr:graphicFrame>
      <xdr:nvGraphicFramePr>
        <xdr:cNvPr id="6" name="Gráfico 9"/>
        <xdr:cNvGraphicFramePr/>
      </xdr:nvGraphicFramePr>
      <xdr:xfrm>
        <a:off x="12397680" y="166784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11</xdr:col>
      <xdr:colOff>756000</xdr:colOff>
      <xdr:row>137</xdr:row>
      <xdr:rowOff>78480</xdr:rowOff>
    </xdr:to>
    <xdr:graphicFrame>
      <xdr:nvGraphicFramePr>
        <xdr:cNvPr id="7" name="Gráfico 10"/>
        <xdr:cNvGraphicFramePr/>
      </xdr:nvGraphicFramePr>
      <xdr:xfrm>
        <a:off x="1706040" y="2120256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23</xdr:col>
      <xdr:colOff>755280</xdr:colOff>
      <xdr:row>137</xdr:row>
      <xdr:rowOff>70200</xdr:rowOff>
    </xdr:to>
    <xdr:graphicFrame>
      <xdr:nvGraphicFramePr>
        <xdr:cNvPr id="8" name="Gráfico 11"/>
        <xdr:cNvGraphicFramePr/>
      </xdr:nvGraphicFramePr>
      <xdr:xfrm>
        <a:off x="12310200" y="2120904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35</xdr:col>
      <xdr:colOff>743400</xdr:colOff>
      <xdr:row>125</xdr:row>
      <xdr:rowOff>61560</xdr:rowOff>
    </xdr:to>
    <xdr:graphicFrame>
      <xdr:nvGraphicFramePr>
        <xdr:cNvPr id="9" name="Gráfico 12"/>
        <xdr:cNvGraphicFramePr/>
      </xdr:nvGraphicFramePr>
      <xdr:xfrm>
        <a:off x="22466520" y="1899504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11</xdr:col>
      <xdr:colOff>758160</xdr:colOff>
      <xdr:row>180</xdr:row>
      <xdr:rowOff>110160</xdr:rowOff>
    </xdr:to>
    <xdr:graphicFrame>
      <xdr:nvGraphicFramePr>
        <xdr:cNvPr id="10" name="Gráfico 13"/>
        <xdr:cNvGraphicFramePr/>
      </xdr:nvGraphicFramePr>
      <xdr:xfrm>
        <a:off x="1707840" y="2945448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23</xdr:col>
      <xdr:colOff>847440</xdr:colOff>
      <xdr:row>180</xdr:row>
      <xdr:rowOff>107280</xdr:rowOff>
    </xdr:to>
    <xdr:graphicFrame>
      <xdr:nvGraphicFramePr>
        <xdr:cNvPr id="11" name="Gráfico 14"/>
        <xdr:cNvGraphicFramePr/>
      </xdr:nvGraphicFramePr>
      <xdr:xfrm>
        <a:off x="12397680" y="2945124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11</xdr:col>
      <xdr:colOff>756000</xdr:colOff>
      <xdr:row>205</xdr:row>
      <xdr:rowOff>115560</xdr:rowOff>
    </xdr:to>
    <xdr:graphicFrame>
      <xdr:nvGraphicFramePr>
        <xdr:cNvPr id="12" name="Gráfico 15"/>
        <xdr:cNvGraphicFramePr/>
      </xdr:nvGraphicFramePr>
      <xdr:xfrm>
        <a:off x="1706040" y="3397572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23</xdr:col>
      <xdr:colOff>755280</xdr:colOff>
      <xdr:row>205</xdr:row>
      <xdr:rowOff>106920</xdr:rowOff>
    </xdr:to>
    <xdr:graphicFrame>
      <xdr:nvGraphicFramePr>
        <xdr:cNvPr id="13" name="Gráfico 16"/>
        <xdr:cNvGraphicFramePr/>
      </xdr:nvGraphicFramePr>
      <xdr:xfrm>
        <a:off x="12310200" y="33982200"/>
        <a:ext cx="9320040" cy="4333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35</xdr:col>
      <xdr:colOff>743400</xdr:colOff>
      <xdr:row>193</xdr:row>
      <xdr:rowOff>98640</xdr:rowOff>
    </xdr:to>
    <xdr:graphicFrame>
      <xdr:nvGraphicFramePr>
        <xdr:cNvPr id="14" name="Gráfico 17"/>
        <xdr:cNvGraphicFramePr/>
      </xdr:nvGraphicFramePr>
      <xdr:xfrm>
        <a:off x="22466520" y="3176820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11</xdr:col>
      <xdr:colOff>758160</xdr:colOff>
      <xdr:row>248</xdr:row>
      <xdr:rowOff>147240</xdr:rowOff>
    </xdr:to>
    <xdr:graphicFrame>
      <xdr:nvGraphicFramePr>
        <xdr:cNvPr id="15" name="Gráfico 18"/>
        <xdr:cNvGraphicFramePr/>
      </xdr:nvGraphicFramePr>
      <xdr:xfrm>
        <a:off x="1707840" y="42246720"/>
        <a:ext cx="9752760" cy="433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23</xdr:col>
      <xdr:colOff>847440</xdr:colOff>
      <xdr:row>248</xdr:row>
      <xdr:rowOff>144360</xdr:rowOff>
    </xdr:to>
    <xdr:graphicFrame>
      <xdr:nvGraphicFramePr>
        <xdr:cNvPr id="16" name="Gráfico 19"/>
        <xdr:cNvGraphicFramePr/>
      </xdr:nvGraphicFramePr>
      <xdr:xfrm>
        <a:off x="12397680" y="42243480"/>
        <a:ext cx="9324720" cy="434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11</xdr:col>
      <xdr:colOff>756000</xdr:colOff>
      <xdr:row>273</xdr:row>
      <xdr:rowOff>152280</xdr:rowOff>
    </xdr:to>
    <xdr:graphicFrame>
      <xdr:nvGraphicFramePr>
        <xdr:cNvPr id="17" name="Gráfico 20"/>
        <xdr:cNvGraphicFramePr/>
      </xdr:nvGraphicFramePr>
      <xdr:xfrm>
        <a:off x="1706040" y="46767600"/>
        <a:ext cx="9752400" cy="434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23</xdr:col>
      <xdr:colOff>755280</xdr:colOff>
      <xdr:row>273</xdr:row>
      <xdr:rowOff>144000</xdr:rowOff>
    </xdr:to>
    <xdr:graphicFrame>
      <xdr:nvGraphicFramePr>
        <xdr:cNvPr id="18" name="Gráfico 21"/>
        <xdr:cNvGraphicFramePr/>
      </xdr:nvGraphicFramePr>
      <xdr:xfrm>
        <a:off x="12310200" y="46774080"/>
        <a:ext cx="9320040" cy="43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35</xdr:col>
      <xdr:colOff>743400</xdr:colOff>
      <xdr:row>261</xdr:row>
      <xdr:rowOff>135000</xdr:rowOff>
    </xdr:to>
    <xdr:graphicFrame>
      <xdr:nvGraphicFramePr>
        <xdr:cNvPr id="19" name="Gráfico 22"/>
        <xdr:cNvGraphicFramePr/>
      </xdr:nvGraphicFramePr>
      <xdr:xfrm>
        <a:off x="22466520" y="44560080"/>
        <a:ext cx="9324720" cy="436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10</xdr:row>
      <xdr:rowOff>36720</xdr:rowOff>
    </xdr:from>
    <xdr:to>
      <xdr:col>13</xdr:col>
      <xdr:colOff>847440</xdr:colOff>
      <xdr:row>36</xdr:row>
      <xdr:rowOff>36360</xdr:rowOff>
    </xdr:to>
    <xdr:graphicFrame>
      <xdr:nvGraphicFramePr>
        <xdr:cNvPr id="20" name="Gráfico 1"/>
        <xdr:cNvGraphicFramePr/>
      </xdr:nvGraphicFramePr>
      <xdr:xfrm>
        <a:off x="1093320" y="209556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13</xdr:col>
      <xdr:colOff>847440</xdr:colOff>
      <xdr:row>74</xdr:row>
      <xdr:rowOff>82800</xdr:rowOff>
    </xdr:to>
    <xdr:graphicFrame>
      <xdr:nvGraphicFramePr>
        <xdr:cNvPr id="21" name="Gráfico 2"/>
        <xdr:cNvGraphicFramePr/>
      </xdr:nvGraphicFramePr>
      <xdr:xfrm>
        <a:off x="1093320" y="9267840"/>
        <a:ext cx="11810880" cy="47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13</xdr:col>
      <xdr:colOff>847440</xdr:colOff>
      <xdr:row>112</xdr:row>
      <xdr:rowOff>129240</xdr:rowOff>
    </xdr:to>
    <xdr:graphicFrame>
      <xdr:nvGraphicFramePr>
        <xdr:cNvPr id="22" name="Gráfico 3"/>
        <xdr:cNvGraphicFramePr/>
      </xdr:nvGraphicFramePr>
      <xdr:xfrm>
        <a:off x="1093320" y="1644012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13</xdr:col>
      <xdr:colOff>847440</xdr:colOff>
      <xdr:row>150</xdr:row>
      <xdr:rowOff>175680</xdr:rowOff>
    </xdr:to>
    <xdr:graphicFrame>
      <xdr:nvGraphicFramePr>
        <xdr:cNvPr id="23" name="Gráfico 4"/>
        <xdr:cNvGraphicFramePr/>
      </xdr:nvGraphicFramePr>
      <xdr:xfrm>
        <a:off x="1093320" y="23612400"/>
        <a:ext cx="11810880" cy="470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I146"/>
  <sheetViews>
    <sheetView showFormulas="false" showGridLines="true" showRowColHeaders="true" showZeros="true" rightToLeft="false" tabSelected="true" showOutlineSymbols="true" defaultGridColor="true" view="normal" topLeftCell="A1" colorId="64" zoomScale="36" zoomScaleNormal="36" zoomScalePageLayoutView="100" workbookViewId="0">
      <selection pane="topLeft" activeCell="K21" activeCellId="0" sqref="K21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2.56"/>
    <col collapsed="false" customWidth="true" hidden="false" outlineLevel="0" max="3" min="3" style="0" width="24.45"/>
    <col collapsed="false" customWidth="true" hidden="false" outlineLevel="0" max="4" min="4" style="0" width="16.55"/>
    <col collapsed="false" customWidth="true" hidden="false" outlineLevel="0" max="5" min="5" style="0" width="10.78"/>
    <col collapsed="false" customWidth="true" hidden="false" outlineLevel="0" max="7" min="7" style="0" width="10.89"/>
    <col collapsed="false" customWidth="true" hidden="false" outlineLevel="0" max="11" min="11" style="0" width="16.55"/>
    <col collapsed="false" customWidth="true" hidden="false" outlineLevel="0" max="19" min="19" style="0" width="16.55"/>
    <col collapsed="false" customWidth="true" hidden="false" outlineLevel="0" max="21" min="21" style="0" width="12.22"/>
    <col collapsed="false" customWidth="true" hidden="false" outlineLevel="0" max="26" min="26" style="0" width="10.89"/>
    <col collapsed="false" customWidth="true" hidden="false" outlineLevel="0" max="27" min="27" style="0" width="17.78"/>
    <col collapsed="false" customWidth="true" hidden="false" outlineLevel="0" max="28" min="28" style="0" width="7.55"/>
    <col collapsed="false" customWidth="true" hidden="false" outlineLevel="0" max="29" min="29" style="0" width="17.89"/>
    <col collapsed="false" customWidth="true" hidden="false" outlineLevel="0" max="30" min="30" style="0" width="13.89"/>
    <col collapsed="false" customWidth="true" hidden="false" outlineLevel="0" max="35" min="35" style="0" width="1.89"/>
    <col collapsed="false" customWidth="true" hidden="false" outlineLevel="0" max="60" min="60" style="0" width="4.33"/>
    <col collapsed="false" customWidth="true" hidden="false" outlineLevel="0" max="67" min="67" style="0" width="10.89"/>
  </cols>
  <sheetData>
    <row r="2" customFormat="false" ht="33.85" hidden="false" customHeight="false" outlineLevel="0" collapsed="false">
      <c r="B2" s="1" t="s">
        <v>0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/>
    </row>
    <row r="3" customFormat="false" ht="14.25" hidden="false" customHeight="false" outlineLevel="0" collapsed="false">
      <c r="B3" s="5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8"/>
    </row>
    <row r="4" customFormat="false" ht="14.25" hidden="false" customHeight="false" outlineLevel="0" collapsed="false">
      <c r="B4" s="9"/>
      <c r="C4" s="10" t="s">
        <v>1</v>
      </c>
      <c r="D4" s="11"/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2" t="s">
        <v>8</v>
      </c>
      <c r="L4" s="12"/>
      <c r="M4" s="11" t="s">
        <v>2</v>
      </c>
      <c r="N4" s="11" t="s">
        <v>3</v>
      </c>
      <c r="O4" s="11" t="s">
        <v>4</v>
      </c>
      <c r="P4" s="11" t="s">
        <v>5</v>
      </c>
      <c r="Q4" s="11" t="s">
        <v>6</v>
      </c>
      <c r="R4" s="11" t="s">
        <v>7</v>
      </c>
      <c r="S4" s="12" t="s">
        <v>9</v>
      </c>
      <c r="T4" s="12"/>
      <c r="U4" s="11" t="s">
        <v>2</v>
      </c>
      <c r="V4" s="11" t="s">
        <v>3</v>
      </c>
      <c r="W4" s="11" t="s">
        <v>4</v>
      </c>
      <c r="X4" s="11" t="s">
        <v>5</v>
      </c>
      <c r="Y4" s="11" t="s">
        <v>6</v>
      </c>
      <c r="Z4" s="11" t="s">
        <v>7</v>
      </c>
      <c r="AA4" s="12" t="s">
        <v>10</v>
      </c>
      <c r="AB4" s="12"/>
      <c r="AC4" s="11" t="s">
        <v>2</v>
      </c>
      <c r="AD4" s="11" t="s">
        <v>3</v>
      </c>
      <c r="AE4" s="11" t="s">
        <v>4</v>
      </c>
      <c r="AF4" s="11" t="s">
        <v>5</v>
      </c>
      <c r="AG4" s="11" t="s">
        <v>6</v>
      </c>
      <c r="AH4" s="13" t="s">
        <v>7</v>
      </c>
      <c r="AI4" s="8"/>
    </row>
    <row r="5" customFormat="false" ht="16.4" hidden="false" customHeight="false" outlineLevel="0" collapsed="false">
      <c r="B5" s="9"/>
      <c r="C5" s="14"/>
      <c r="D5" s="15" t="s">
        <v>11</v>
      </c>
      <c r="E5" s="16" t="n">
        <v>168142</v>
      </c>
      <c r="F5" s="16" t="n">
        <v>83887</v>
      </c>
      <c r="G5" s="16" t="n">
        <v>47303</v>
      </c>
      <c r="H5" s="16" t="n">
        <v>26568</v>
      </c>
      <c r="I5" s="16" t="n">
        <v>29013</v>
      </c>
      <c r="J5" s="16" t="n">
        <v>34664</v>
      </c>
      <c r="K5" s="7"/>
      <c r="L5" s="7"/>
      <c r="M5" s="16" t="n">
        <v>1515121</v>
      </c>
      <c r="N5" s="16" t="n">
        <v>764256</v>
      </c>
      <c r="O5" s="16" t="n">
        <v>427959</v>
      </c>
      <c r="P5" s="16" t="n">
        <v>329308</v>
      </c>
      <c r="Q5" s="16" t="n">
        <v>290318</v>
      </c>
      <c r="R5" s="16" t="n">
        <v>395983</v>
      </c>
      <c r="S5" s="7"/>
      <c r="T5" s="7"/>
      <c r="U5" s="16" t="n">
        <v>6864262</v>
      </c>
      <c r="V5" s="16" t="n">
        <v>3940877</v>
      </c>
      <c r="W5" s="16" t="n">
        <v>2134653</v>
      </c>
      <c r="X5" s="16" t="n">
        <v>1195179</v>
      </c>
      <c r="Y5" s="16" t="n">
        <v>1339957</v>
      </c>
      <c r="Z5" s="16" t="n">
        <v>1888066</v>
      </c>
      <c r="AA5" s="7"/>
      <c r="AB5" s="7"/>
      <c r="AC5" s="16" t="n">
        <v>32245436</v>
      </c>
      <c r="AD5" s="16" t="n">
        <v>16331888</v>
      </c>
      <c r="AE5" s="16" t="n">
        <v>8990634</v>
      </c>
      <c r="AF5" s="16" t="n">
        <v>5239494</v>
      </c>
      <c r="AG5" s="16" t="n">
        <v>5449830</v>
      </c>
      <c r="AH5" s="16" t="n">
        <v>5665933</v>
      </c>
      <c r="AI5" s="8"/>
    </row>
    <row r="6" customFormat="false" ht="16.4" hidden="false" customHeight="false" outlineLevel="0" collapsed="false">
      <c r="B6" s="9"/>
      <c r="C6" s="14"/>
      <c r="D6" s="15" t="s">
        <v>12</v>
      </c>
      <c r="E6" s="16" t="n">
        <v>161841</v>
      </c>
      <c r="F6" s="16" t="n">
        <v>85637</v>
      </c>
      <c r="G6" s="16" t="n">
        <v>47477</v>
      </c>
      <c r="H6" s="16" t="n">
        <v>26622</v>
      </c>
      <c r="I6" s="16" t="n">
        <v>31558</v>
      </c>
      <c r="J6" s="16" t="n">
        <v>30335</v>
      </c>
      <c r="K6" s="7"/>
      <c r="L6" s="7"/>
      <c r="M6" s="16" t="n">
        <v>1473228</v>
      </c>
      <c r="N6" s="16" t="n">
        <v>769879</v>
      </c>
      <c r="O6" s="16" t="n">
        <v>427995</v>
      </c>
      <c r="P6" s="16" t="n">
        <v>238020</v>
      </c>
      <c r="Q6" s="16" t="n">
        <v>291600</v>
      </c>
      <c r="R6" s="16" t="n">
        <v>396823</v>
      </c>
      <c r="S6" s="7"/>
      <c r="T6" s="7"/>
      <c r="U6" s="16" t="n">
        <v>6796435</v>
      </c>
      <c r="V6" s="16" t="n">
        <v>3940638</v>
      </c>
      <c r="W6" s="16" t="n">
        <v>2138809</v>
      </c>
      <c r="X6" s="16" t="n">
        <v>1245571</v>
      </c>
      <c r="Y6" s="16" t="n">
        <v>1335411</v>
      </c>
      <c r="Z6" s="16" t="n">
        <v>1885472</v>
      </c>
      <c r="AA6" s="7"/>
      <c r="AB6" s="7"/>
      <c r="AC6" s="16" t="n">
        <v>32045810</v>
      </c>
      <c r="AD6" s="16" t="n">
        <v>16377054</v>
      </c>
      <c r="AE6" s="16" t="n">
        <v>8932640</v>
      </c>
      <c r="AF6" s="16" t="n">
        <v>5252144</v>
      </c>
      <c r="AG6" s="16" t="n">
        <v>5344598</v>
      </c>
      <c r="AH6" s="16" t="n">
        <v>5656004</v>
      </c>
      <c r="AI6" s="8"/>
    </row>
    <row r="7" customFormat="false" ht="16.4" hidden="false" customHeight="false" outlineLevel="0" collapsed="false">
      <c r="B7" s="9"/>
      <c r="C7" s="14"/>
      <c r="D7" s="15" t="s">
        <v>13</v>
      </c>
      <c r="E7" s="16" t="n">
        <v>168872</v>
      </c>
      <c r="F7" s="16" t="n">
        <v>86352</v>
      </c>
      <c r="G7" s="16" t="n">
        <v>49048</v>
      </c>
      <c r="H7" s="16" t="n">
        <v>28424</v>
      </c>
      <c r="I7" s="16" t="n">
        <v>30820</v>
      </c>
      <c r="J7" s="16" t="n">
        <v>33379</v>
      </c>
      <c r="K7" s="7"/>
      <c r="L7" s="7"/>
      <c r="M7" s="16" t="n">
        <v>1452591</v>
      </c>
      <c r="N7" s="16" t="n">
        <v>765887</v>
      </c>
      <c r="O7" s="16" t="n">
        <v>425153</v>
      </c>
      <c r="P7" s="16" t="n">
        <v>241462</v>
      </c>
      <c r="Q7" s="16" t="n">
        <v>292912</v>
      </c>
      <c r="R7" s="16" t="n">
        <v>410504</v>
      </c>
      <c r="S7" s="7"/>
      <c r="T7" s="7"/>
      <c r="U7" s="16" t="n">
        <v>6649915</v>
      </c>
      <c r="V7" s="16" t="n">
        <v>3953510</v>
      </c>
      <c r="W7" s="16" t="n">
        <v>2151199</v>
      </c>
      <c r="X7" s="16" t="n">
        <v>1208198</v>
      </c>
      <c r="Y7" s="16" t="n">
        <v>1344423</v>
      </c>
      <c r="Z7" s="16" t="n">
        <v>1879801</v>
      </c>
      <c r="AA7" s="7"/>
      <c r="AB7" s="7"/>
      <c r="AC7" s="16" t="n">
        <v>32128900</v>
      </c>
      <c r="AD7" s="16" t="n">
        <v>16434231</v>
      </c>
      <c r="AE7" s="16" t="n">
        <v>8945873</v>
      </c>
      <c r="AF7" s="16" t="n">
        <v>5283540</v>
      </c>
      <c r="AG7" s="16" t="n">
        <v>5382505</v>
      </c>
      <c r="AH7" s="16" t="n">
        <v>5641243</v>
      </c>
      <c r="AI7" s="8"/>
    </row>
    <row r="8" customFormat="false" ht="16.4" hidden="false" customHeight="false" outlineLevel="0" collapsed="false">
      <c r="B8" s="9"/>
      <c r="C8" s="14"/>
      <c r="D8" s="15" t="s">
        <v>14</v>
      </c>
      <c r="E8" s="16" t="n">
        <v>160671</v>
      </c>
      <c r="F8" s="16" t="n">
        <v>85948</v>
      </c>
      <c r="G8" s="16" t="n">
        <v>48078</v>
      </c>
      <c r="H8" s="16" t="n">
        <v>28264</v>
      </c>
      <c r="I8" s="16" t="n">
        <v>28480</v>
      </c>
      <c r="J8" s="16" t="n">
        <v>34217</v>
      </c>
      <c r="K8" s="7"/>
      <c r="L8" s="7"/>
      <c r="M8" s="16" t="n">
        <v>1438796</v>
      </c>
      <c r="N8" s="16" t="n">
        <v>779849</v>
      </c>
      <c r="O8" s="16" t="n">
        <v>422059</v>
      </c>
      <c r="P8" s="16" t="n">
        <v>242542</v>
      </c>
      <c r="Q8" s="16" t="n">
        <v>289580</v>
      </c>
      <c r="R8" s="16" t="n">
        <v>404542</v>
      </c>
      <c r="S8" s="7"/>
      <c r="T8" s="7"/>
      <c r="U8" s="16" t="n">
        <v>6575371</v>
      </c>
      <c r="V8" s="16" t="n">
        <v>3962723</v>
      </c>
      <c r="W8" s="16" t="n">
        <v>2145624</v>
      </c>
      <c r="X8" s="16" t="n">
        <v>1204440</v>
      </c>
      <c r="Y8" s="16" t="n">
        <v>1329570</v>
      </c>
      <c r="Z8" s="16" t="n">
        <v>1898659</v>
      </c>
      <c r="AA8" s="7"/>
      <c r="AB8" s="7"/>
      <c r="AC8" s="16" t="n">
        <v>32000400</v>
      </c>
      <c r="AD8" s="16" t="n">
        <v>16459696</v>
      </c>
      <c r="AE8" s="16" t="n">
        <v>8952692</v>
      </c>
      <c r="AF8" s="16" t="n">
        <v>5239308</v>
      </c>
      <c r="AG8" s="16" t="n">
        <v>5314709</v>
      </c>
      <c r="AH8" s="16" t="n">
        <v>5661906</v>
      </c>
      <c r="AI8" s="8"/>
    </row>
    <row r="9" customFormat="false" ht="16.4" hidden="false" customHeight="false" outlineLevel="0" collapsed="false">
      <c r="B9" s="9"/>
      <c r="C9" s="14"/>
      <c r="D9" s="15" t="s">
        <v>15</v>
      </c>
      <c r="E9" s="16" t="n">
        <v>168078</v>
      </c>
      <c r="F9" s="16" t="n">
        <v>86194</v>
      </c>
      <c r="G9" s="16" t="n">
        <v>48610</v>
      </c>
      <c r="H9" s="16" t="n">
        <v>27027</v>
      </c>
      <c r="I9" s="16" t="n">
        <v>29595</v>
      </c>
      <c r="J9" s="16" t="n">
        <v>35917</v>
      </c>
      <c r="K9" s="7"/>
      <c r="L9" s="7"/>
      <c r="M9" s="16" t="n">
        <v>1452975</v>
      </c>
      <c r="N9" s="16" t="n">
        <v>770938</v>
      </c>
      <c r="O9" s="16" t="n">
        <v>427023</v>
      </c>
      <c r="P9" s="16" t="n">
        <v>240468</v>
      </c>
      <c r="Q9" s="16" t="n">
        <v>295259</v>
      </c>
      <c r="R9" s="16" t="n">
        <v>392017</v>
      </c>
      <c r="S9" s="7"/>
      <c r="T9" s="7"/>
      <c r="U9" s="16" t="n">
        <v>6535644</v>
      </c>
      <c r="V9" s="16" t="n">
        <v>3955486</v>
      </c>
      <c r="W9" s="16" t="n">
        <v>2153002</v>
      </c>
      <c r="X9" s="16" t="n">
        <v>1208682</v>
      </c>
      <c r="Y9" s="16" t="n">
        <v>1350028</v>
      </c>
      <c r="Z9" s="16" t="n">
        <v>1961955</v>
      </c>
      <c r="AA9" s="7"/>
      <c r="AB9" s="7"/>
      <c r="AC9" s="16" t="n">
        <v>32123425</v>
      </c>
      <c r="AD9" s="16" t="n">
        <v>16442408</v>
      </c>
      <c r="AE9" s="16" t="n">
        <v>8951639</v>
      </c>
      <c r="AF9" s="16" t="n">
        <v>5255147</v>
      </c>
      <c r="AG9" s="16" t="n">
        <v>5442276</v>
      </c>
      <c r="AH9" s="16" t="n">
        <v>5703871</v>
      </c>
      <c r="AI9" s="8"/>
    </row>
    <row r="10" customFormat="false" ht="16.4" hidden="false" customHeight="false" outlineLevel="0" collapsed="false">
      <c r="B10" s="9"/>
      <c r="C10" s="14"/>
      <c r="D10" s="15" t="s">
        <v>16</v>
      </c>
      <c r="E10" s="16" t="n">
        <v>170471</v>
      </c>
      <c r="F10" s="16" t="n">
        <v>86285</v>
      </c>
      <c r="G10" s="16" t="n">
        <v>48827</v>
      </c>
      <c r="H10" s="16" t="n">
        <v>27683</v>
      </c>
      <c r="I10" s="16" t="n">
        <v>28216</v>
      </c>
      <c r="J10" s="16" t="n">
        <v>36032</v>
      </c>
      <c r="K10" s="7"/>
      <c r="L10" s="7"/>
      <c r="M10" s="16" t="n">
        <v>1449783</v>
      </c>
      <c r="N10" s="16" t="n">
        <v>767854</v>
      </c>
      <c r="O10" s="16" t="n">
        <v>434864</v>
      </c>
      <c r="P10" s="16" t="n">
        <v>241046</v>
      </c>
      <c r="Q10" s="16" t="n">
        <v>316460</v>
      </c>
      <c r="R10" s="16" t="n">
        <v>396290</v>
      </c>
      <c r="S10" s="7"/>
      <c r="T10" s="7"/>
      <c r="U10" s="16" t="n">
        <v>6554583</v>
      </c>
      <c r="V10" s="16" t="n">
        <v>3957047</v>
      </c>
      <c r="W10" s="16" t="n">
        <v>2143352</v>
      </c>
      <c r="X10" s="16" t="n">
        <v>1210328</v>
      </c>
      <c r="Y10" s="16" t="n">
        <v>1387929</v>
      </c>
      <c r="Z10" s="16" t="n">
        <v>1885329</v>
      </c>
      <c r="AA10" s="7"/>
      <c r="AB10" s="7"/>
      <c r="AC10" s="16" t="n">
        <v>32114625</v>
      </c>
      <c r="AD10" s="16" t="n">
        <v>16500614</v>
      </c>
      <c r="AE10" s="16" t="n">
        <v>8938161</v>
      </c>
      <c r="AF10" s="16" t="n">
        <v>5198590</v>
      </c>
      <c r="AG10" s="16" t="n">
        <v>5462912</v>
      </c>
      <c r="AH10" s="16" t="n">
        <v>5769336</v>
      </c>
      <c r="AI10" s="8"/>
    </row>
    <row r="11" customFormat="false" ht="16.4" hidden="false" customHeight="false" outlineLevel="0" collapsed="false">
      <c r="B11" s="9"/>
      <c r="C11" s="14"/>
      <c r="D11" s="15" t="s">
        <v>17</v>
      </c>
      <c r="E11" s="16" t="n">
        <v>169434</v>
      </c>
      <c r="F11" s="16" t="n">
        <v>86274</v>
      </c>
      <c r="G11" s="16" t="n">
        <v>48702</v>
      </c>
      <c r="H11" s="16" t="n">
        <v>31087</v>
      </c>
      <c r="I11" s="16" t="n">
        <v>28990</v>
      </c>
      <c r="J11" s="16" t="n">
        <v>32947</v>
      </c>
      <c r="K11" s="7"/>
      <c r="L11" s="7"/>
      <c r="M11" s="16" t="n">
        <v>1476402</v>
      </c>
      <c r="N11" s="16" t="n">
        <v>773568</v>
      </c>
      <c r="O11" s="16" t="n">
        <v>428855</v>
      </c>
      <c r="P11" s="16" t="n">
        <v>240956</v>
      </c>
      <c r="Q11" s="16" t="n">
        <v>291955</v>
      </c>
      <c r="R11" s="16" t="n">
        <v>410358</v>
      </c>
      <c r="S11" s="7"/>
      <c r="T11" s="7"/>
      <c r="U11" s="16" t="n">
        <v>6684773</v>
      </c>
      <c r="V11" s="16" t="n">
        <v>3975911</v>
      </c>
      <c r="W11" s="16" t="n">
        <v>2157050</v>
      </c>
      <c r="X11" s="16" t="n">
        <v>1211330</v>
      </c>
      <c r="Y11" s="16" t="n">
        <v>1466743</v>
      </c>
      <c r="Z11" s="16" t="n">
        <v>1874158</v>
      </c>
      <c r="AA11" s="7"/>
      <c r="AB11" s="7"/>
      <c r="AC11" s="16" t="n">
        <v>31738653</v>
      </c>
      <c r="AD11" s="16" t="n">
        <v>16471411</v>
      </c>
      <c r="AE11" s="16" t="n">
        <v>8972434</v>
      </c>
      <c r="AF11" s="16" t="n">
        <v>5274852</v>
      </c>
      <c r="AG11" s="16" t="n">
        <v>5685234</v>
      </c>
      <c r="AH11" s="16" t="n">
        <v>5675289</v>
      </c>
      <c r="AI11" s="8"/>
    </row>
    <row r="12" customFormat="false" ht="16.4" hidden="false" customHeight="false" outlineLevel="0" collapsed="false">
      <c r="B12" s="9"/>
      <c r="C12" s="14"/>
      <c r="D12" s="15" t="s">
        <v>18</v>
      </c>
      <c r="E12" s="16" t="n">
        <v>169390</v>
      </c>
      <c r="F12" s="16" t="n">
        <v>84628</v>
      </c>
      <c r="G12" s="16" t="n">
        <v>47786</v>
      </c>
      <c r="H12" s="16" t="n">
        <v>26597</v>
      </c>
      <c r="I12" s="16" t="n">
        <v>30097</v>
      </c>
      <c r="J12" s="16" t="n">
        <v>28842</v>
      </c>
      <c r="K12" s="7"/>
      <c r="L12" s="7"/>
      <c r="M12" s="16" t="n">
        <v>1455533</v>
      </c>
      <c r="N12" s="16" t="n">
        <v>771913</v>
      </c>
      <c r="O12" s="16" t="n">
        <v>433748</v>
      </c>
      <c r="P12" s="16" t="n">
        <v>251004</v>
      </c>
      <c r="Q12" s="16" t="n">
        <v>320336</v>
      </c>
      <c r="R12" s="16" t="n">
        <v>392083</v>
      </c>
      <c r="S12" s="7"/>
      <c r="T12" s="7"/>
      <c r="U12" s="16" t="n">
        <v>6709238</v>
      </c>
      <c r="V12" s="16" t="n">
        <v>3970706</v>
      </c>
      <c r="W12" s="16" t="n">
        <v>2146987</v>
      </c>
      <c r="X12" s="16" t="n">
        <v>1209666</v>
      </c>
      <c r="Y12" s="16" t="n">
        <v>1328006</v>
      </c>
      <c r="Z12" s="16" t="n">
        <v>1899808</v>
      </c>
      <c r="AA12" s="7"/>
      <c r="AB12" s="7"/>
      <c r="AC12" s="16" t="n">
        <v>31811029</v>
      </c>
      <c r="AD12" s="16" t="n">
        <v>16459037</v>
      </c>
      <c r="AE12" s="16" t="n">
        <v>8972804</v>
      </c>
      <c r="AF12" s="16" t="n">
        <v>5289725</v>
      </c>
      <c r="AG12" s="16" t="n">
        <v>5490878</v>
      </c>
      <c r="AH12" s="16" t="n">
        <v>5710122</v>
      </c>
      <c r="AI12" s="8"/>
    </row>
    <row r="13" customFormat="false" ht="16.4" hidden="false" customHeight="false" outlineLevel="0" collapsed="false">
      <c r="B13" s="9"/>
      <c r="C13" s="14"/>
      <c r="D13" s="15" t="s">
        <v>19</v>
      </c>
      <c r="E13" s="16" t="n">
        <v>169968</v>
      </c>
      <c r="F13" s="16" t="n">
        <v>86199</v>
      </c>
      <c r="G13" s="16" t="n">
        <v>48604</v>
      </c>
      <c r="H13" s="16" t="n">
        <v>34646</v>
      </c>
      <c r="I13" s="16" t="n">
        <v>28828</v>
      </c>
      <c r="J13" s="16" t="n">
        <v>36828</v>
      </c>
      <c r="K13" s="7"/>
      <c r="L13" s="7"/>
      <c r="M13" s="16" t="n">
        <v>1448446</v>
      </c>
      <c r="N13" s="16" t="n">
        <v>773104</v>
      </c>
      <c r="O13" s="16" t="n">
        <v>429503</v>
      </c>
      <c r="P13" s="16" t="n">
        <v>242578</v>
      </c>
      <c r="Q13" s="16" t="n">
        <v>292064</v>
      </c>
      <c r="R13" s="16" t="n">
        <v>409721</v>
      </c>
      <c r="S13" s="7"/>
      <c r="T13" s="7"/>
      <c r="U13" s="16" t="n">
        <v>6566079</v>
      </c>
      <c r="V13" s="16" t="n">
        <v>3950369</v>
      </c>
      <c r="W13" s="16" t="n">
        <v>2191221</v>
      </c>
      <c r="X13" s="16" t="n">
        <v>1217761</v>
      </c>
      <c r="Y13" s="16" t="n">
        <v>1394155</v>
      </c>
      <c r="Z13" s="16" t="n">
        <v>1919531</v>
      </c>
      <c r="AA13" s="7"/>
      <c r="AB13" s="7"/>
      <c r="AC13" s="16" t="n">
        <v>32063119</v>
      </c>
      <c r="AD13" s="16" t="n">
        <v>16495330</v>
      </c>
      <c r="AE13" s="16" t="n">
        <v>9092139</v>
      </c>
      <c r="AF13" s="16" t="n">
        <v>5264427</v>
      </c>
      <c r="AG13" s="16" t="n">
        <v>5363403</v>
      </c>
      <c r="AH13" s="16" t="n">
        <v>5731405</v>
      </c>
      <c r="AI13" s="8"/>
    </row>
    <row r="14" customFormat="false" ht="16.4" hidden="false" customHeight="false" outlineLevel="0" collapsed="false">
      <c r="B14" s="9"/>
      <c r="C14" s="14"/>
      <c r="D14" s="15" t="s">
        <v>20</v>
      </c>
      <c r="E14" s="16" t="n">
        <v>169992</v>
      </c>
      <c r="F14" s="16" t="n">
        <v>85178</v>
      </c>
      <c r="G14" s="16" t="n">
        <v>49232</v>
      </c>
      <c r="H14" s="16" t="n">
        <v>27382</v>
      </c>
      <c r="I14" s="16" t="n">
        <v>28594</v>
      </c>
      <c r="J14" s="16" t="n">
        <v>31008</v>
      </c>
      <c r="K14" s="7"/>
      <c r="L14" s="7"/>
      <c r="M14" s="16" t="n">
        <v>1449030</v>
      </c>
      <c r="N14" s="16" t="n">
        <v>762664</v>
      </c>
      <c r="O14" s="16" t="n">
        <v>429905</v>
      </c>
      <c r="P14" s="16" t="n">
        <v>242771</v>
      </c>
      <c r="Q14" s="16" t="n">
        <v>299849</v>
      </c>
      <c r="R14" s="16" t="n">
        <v>404549</v>
      </c>
      <c r="S14" s="7"/>
      <c r="T14" s="7"/>
      <c r="U14" s="16" t="n">
        <v>6601914</v>
      </c>
      <c r="V14" s="16" t="n">
        <v>3962889</v>
      </c>
      <c r="W14" s="16" t="n">
        <v>2143701</v>
      </c>
      <c r="X14" s="16" t="n">
        <v>1220866</v>
      </c>
      <c r="Y14" s="16" t="n">
        <v>1349823</v>
      </c>
      <c r="Z14" s="16" t="n">
        <v>1902155</v>
      </c>
      <c r="AA14" s="7"/>
      <c r="AB14" s="7"/>
      <c r="AC14" s="16" t="n">
        <v>31823446</v>
      </c>
      <c r="AD14" s="16" t="n">
        <v>16463034</v>
      </c>
      <c r="AE14" s="16" t="n">
        <v>9035546</v>
      </c>
      <c r="AF14" s="16" t="n">
        <v>5312282</v>
      </c>
      <c r="AG14" s="16" t="n">
        <v>5396498</v>
      </c>
      <c r="AH14" s="16" t="n">
        <v>5659897</v>
      </c>
      <c r="AI14" s="8"/>
    </row>
    <row r="15" customFormat="false" ht="16.4" hidden="false" customHeight="false" outlineLevel="0" collapsed="false">
      <c r="B15" s="9"/>
      <c r="C15" s="14"/>
      <c r="D15" s="15" t="s">
        <v>21</v>
      </c>
      <c r="E15" s="16" t="n">
        <v>186340</v>
      </c>
      <c r="F15" s="16" t="n">
        <v>84628</v>
      </c>
      <c r="G15" s="16" t="n">
        <v>48578</v>
      </c>
      <c r="H15" s="16" t="n">
        <v>27728</v>
      </c>
      <c r="I15" s="16" t="n">
        <v>29167</v>
      </c>
      <c r="J15" s="16" t="n">
        <v>34542</v>
      </c>
      <c r="K15" s="7"/>
      <c r="L15" s="7"/>
      <c r="M15" s="16" t="n">
        <v>1433803</v>
      </c>
      <c r="N15" s="16" t="n">
        <v>779733</v>
      </c>
      <c r="O15" s="16" t="n">
        <v>424236</v>
      </c>
      <c r="P15" s="16" t="n">
        <v>241819</v>
      </c>
      <c r="Q15" s="16" t="n">
        <v>286587</v>
      </c>
      <c r="R15" s="16" t="n">
        <v>403596</v>
      </c>
      <c r="S15" s="7"/>
      <c r="T15" s="7"/>
      <c r="U15" s="16" t="n">
        <v>6515413</v>
      </c>
      <c r="V15" s="16" t="n">
        <v>4002414</v>
      </c>
      <c r="W15" s="16" t="n">
        <v>2151202</v>
      </c>
      <c r="X15" s="16" t="n">
        <v>1222685</v>
      </c>
      <c r="Y15" s="16" t="n">
        <v>1334597</v>
      </c>
      <c r="Z15" s="16" t="n">
        <v>1891664</v>
      </c>
      <c r="AA15" s="17"/>
      <c r="AB15" s="7"/>
      <c r="AC15" s="16" t="n">
        <v>32031088</v>
      </c>
      <c r="AD15" s="16" t="n">
        <v>16497125</v>
      </c>
      <c r="AE15" s="16" t="n">
        <v>9040635</v>
      </c>
      <c r="AF15" s="16" t="n">
        <v>5347604</v>
      </c>
      <c r="AG15" s="16" t="n">
        <v>5434425</v>
      </c>
      <c r="AH15" s="16" t="n">
        <v>5660636</v>
      </c>
      <c r="AI15" s="8"/>
    </row>
    <row r="16" customFormat="false" ht="16.4" hidden="false" customHeight="false" outlineLevel="0" collapsed="false">
      <c r="B16" s="9"/>
      <c r="C16" s="14"/>
      <c r="D16" s="15" t="s">
        <v>22</v>
      </c>
      <c r="E16" s="16" t="n">
        <v>170183</v>
      </c>
      <c r="F16" s="16" t="n">
        <v>84524</v>
      </c>
      <c r="G16" s="16" t="n">
        <v>48465</v>
      </c>
      <c r="H16" s="16" t="n">
        <v>27800</v>
      </c>
      <c r="I16" s="16" t="n">
        <v>26949</v>
      </c>
      <c r="J16" s="16" t="n">
        <v>33288</v>
      </c>
      <c r="K16" s="7"/>
      <c r="L16" s="7"/>
      <c r="M16" s="16" t="n">
        <v>1448422</v>
      </c>
      <c r="N16" s="16" t="n">
        <v>768763</v>
      </c>
      <c r="O16" s="16" t="n">
        <v>429243</v>
      </c>
      <c r="P16" s="16" t="n">
        <v>244272</v>
      </c>
      <c r="Q16" s="16" t="n">
        <v>309755</v>
      </c>
      <c r="R16" s="16" t="n">
        <v>397113</v>
      </c>
      <c r="S16" s="7"/>
      <c r="T16" s="7"/>
      <c r="U16" s="16" t="n">
        <v>6654144</v>
      </c>
      <c r="V16" s="16" t="n">
        <v>3969996</v>
      </c>
      <c r="W16" s="16" t="n">
        <v>2147952</v>
      </c>
      <c r="X16" s="16" t="n">
        <v>1220088</v>
      </c>
      <c r="Y16" s="16" t="n">
        <v>1394608</v>
      </c>
      <c r="Z16" s="16" t="n">
        <v>1896004</v>
      </c>
      <c r="AA16" s="7"/>
      <c r="AB16" s="7"/>
      <c r="AC16" s="16" t="n">
        <v>31930244</v>
      </c>
      <c r="AD16" s="16" t="n">
        <v>16544069</v>
      </c>
      <c r="AE16" s="16" t="n">
        <v>9002502</v>
      </c>
      <c r="AF16" s="16" t="n">
        <v>5340279</v>
      </c>
      <c r="AG16" s="16" t="n">
        <v>5436446</v>
      </c>
      <c r="AH16" s="16" t="n">
        <v>5709032</v>
      </c>
      <c r="AI16" s="8"/>
    </row>
    <row r="17" customFormat="false" ht="16.4" hidden="false" customHeight="false" outlineLevel="0" collapsed="false">
      <c r="B17" s="9"/>
      <c r="C17" s="14"/>
      <c r="D17" s="15" t="s">
        <v>23</v>
      </c>
      <c r="E17" s="16" t="n">
        <v>164409</v>
      </c>
      <c r="F17" s="16" t="n">
        <v>87392</v>
      </c>
      <c r="G17" s="16" t="n">
        <v>51273</v>
      </c>
      <c r="H17" s="16" t="n">
        <v>27734</v>
      </c>
      <c r="I17" s="16" t="n">
        <v>29495</v>
      </c>
      <c r="J17" s="16" t="n">
        <v>37231</v>
      </c>
      <c r="K17" s="7"/>
      <c r="L17" s="7"/>
      <c r="M17" s="16" t="n">
        <v>1449659</v>
      </c>
      <c r="N17" s="16" t="n">
        <v>772608</v>
      </c>
      <c r="O17" s="16" t="n">
        <v>427127</v>
      </c>
      <c r="P17" s="16" t="n">
        <v>243601</v>
      </c>
      <c r="Q17" s="16" t="n">
        <v>303292</v>
      </c>
      <c r="R17" s="16" t="n">
        <v>408314</v>
      </c>
      <c r="S17" s="7"/>
      <c r="T17" s="7"/>
      <c r="U17" s="16" t="n">
        <v>6572098</v>
      </c>
      <c r="V17" s="16" t="n">
        <v>3975149</v>
      </c>
      <c r="W17" s="16" t="n">
        <v>2148584</v>
      </c>
      <c r="X17" s="16" t="n">
        <v>1219733</v>
      </c>
      <c r="Y17" s="16" t="n">
        <v>1347778</v>
      </c>
      <c r="Z17" s="16" t="n">
        <v>1880339</v>
      </c>
      <c r="AA17" s="7"/>
      <c r="AB17" s="7"/>
      <c r="AC17" s="16" t="n">
        <v>32044214</v>
      </c>
      <c r="AD17" s="16" t="n">
        <v>16460379</v>
      </c>
      <c r="AE17" s="16" t="n">
        <v>9099443</v>
      </c>
      <c r="AF17" s="16" t="n">
        <v>5328427</v>
      </c>
      <c r="AG17" s="16" t="n">
        <v>5647358</v>
      </c>
      <c r="AH17" s="16" t="n">
        <v>5704385</v>
      </c>
      <c r="AI17" s="8"/>
    </row>
    <row r="18" customFormat="false" ht="16.4" hidden="false" customHeight="false" outlineLevel="0" collapsed="false">
      <c r="B18" s="9"/>
      <c r="C18" s="14"/>
      <c r="D18" s="15" t="s">
        <v>24</v>
      </c>
      <c r="E18" s="16" t="n">
        <v>168559</v>
      </c>
      <c r="F18" s="16" t="n">
        <v>86337</v>
      </c>
      <c r="G18" s="16" t="n">
        <v>48990</v>
      </c>
      <c r="H18" s="16" t="n">
        <v>26747</v>
      </c>
      <c r="I18" s="16" t="n">
        <v>29295</v>
      </c>
      <c r="J18" s="16" t="n">
        <v>31511</v>
      </c>
      <c r="K18" s="7"/>
      <c r="L18" s="7"/>
      <c r="M18" s="16" t="n">
        <v>1499607</v>
      </c>
      <c r="N18" s="16" t="n">
        <v>774810</v>
      </c>
      <c r="O18" s="16" t="n">
        <v>433397</v>
      </c>
      <c r="P18" s="16" t="n">
        <v>243023</v>
      </c>
      <c r="Q18" s="16" t="n">
        <v>295065</v>
      </c>
      <c r="R18" s="16" t="n">
        <v>415371</v>
      </c>
      <c r="S18" s="7"/>
      <c r="T18" s="7"/>
      <c r="U18" s="16" t="n">
        <v>6648413</v>
      </c>
      <c r="V18" s="16" t="n">
        <v>3987882</v>
      </c>
      <c r="W18" s="16" t="n">
        <v>2147615</v>
      </c>
      <c r="X18" s="16" t="n">
        <v>1226123</v>
      </c>
      <c r="Y18" s="16" t="n">
        <v>1337160</v>
      </c>
      <c r="Z18" s="16" t="n">
        <v>1937119</v>
      </c>
      <c r="AA18" s="7"/>
      <c r="AB18" s="7"/>
      <c r="AC18" s="16" t="n">
        <v>31930314</v>
      </c>
      <c r="AD18" s="16" t="n">
        <v>16575797</v>
      </c>
      <c r="AE18" s="16" t="n">
        <v>9030100</v>
      </c>
      <c r="AF18" s="16" t="n">
        <v>5317640</v>
      </c>
      <c r="AG18" s="16" t="n">
        <v>5378031</v>
      </c>
      <c r="AH18" s="16" t="n">
        <v>5662834</v>
      </c>
      <c r="AI18" s="8"/>
    </row>
    <row r="19" customFormat="false" ht="16.4" hidden="false" customHeight="false" outlineLevel="0" collapsed="false">
      <c r="B19" s="9"/>
      <c r="C19" s="14"/>
      <c r="D19" s="15" t="s">
        <v>25</v>
      </c>
      <c r="E19" s="16" t="n">
        <v>166089</v>
      </c>
      <c r="F19" s="16" t="n">
        <v>87468</v>
      </c>
      <c r="G19" s="16" t="n">
        <v>49670</v>
      </c>
      <c r="H19" s="16" t="n">
        <v>27319</v>
      </c>
      <c r="I19" s="16" t="n">
        <v>30581</v>
      </c>
      <c r="J19" s="16" t="n">
        <v>32850</v>
      </c>
      <c r="K19" s="7"/>
      <c r="L19" s="7"/>
      <c r="M19" s="16" t="n">
        <v>1497203</v>
      </c>
      <c r="N19" s="16" t="n">
        <v>771781</v>
      </c>
      <c r="O19" s="16" t="n">
        <v>429692</v>
      </c>
      <c r="P19" s="16" t="n">
        <v>246010</v>
      </c>
      <c r="Q19" s="16" t="n">
        <v>294712</v>
      </c>
      <c r="R19" s="16" t="n">
        <v>403307</v>
      </c>
      <c r="S19" s="7"/>
      <c r="T19" s="7"/>
      <c r="U19" s="16" t="n">
        <v>6691235</v>
      </c>
      <c r="V19" s="16" t="n">
        <v>3981321</v>
      </c>
      <c r="W19" s="16" t="n">
        <v>2148976</v>
      </c>
      <c r="X19" s="16" t="n">
        <v>1223255</v>
      </c>
      <c r="Y19" s="16" t="n">
        <v>1418193</v>
      </c>
      <c r="Z19" s="16" t="n">
        <v>1843715</v>
      </c>
      <c r="AA19" s="7"/>
      <c r="AB19" s="7"/>
      <c r="AC19" s="16" t="n">
        <v>32005565</v>
      </c>
      <c r="AD19" s="16" t="n">
        <v>16540461</v>
      </c>
      <c r="AE19" s="16" t="n">
        <v>9019460</v>
      </c>
      <c r="AF19" s="16" t="n">
        <v>5318971</v>
      </c>
      <c r="AG19" s="16" t="n">
        <v>5403811</v>
      </c>
      <c r="AH19" s="16" t="n">
        <v>5655038</v>
      </c>
      <c r="AI19" s="8"/>
    </row>
    <row r="20" customFormat="false" ht="16.4" hidden="false" customHeight="false" outlineLevel="0" collapsed="false">
      <c r="B20" s="9"/>
      <c r="C20" s="14"/>
      <c r="D20" s="15" t="s">
        <v>26</v>
      </c>
      <c r="E20" s="16" t="n">
        <v>169304</v>
      </c>
      <c r="F20" s="16" t="n">
        <v>85948</v>
      </c>
      <c r="G20" s="16" t="n">
        <v>48760</v>
      </c>
      <c r="H20" s="16" t="n">
        <v>36804</v>
      </c>
      <c r="I20" s="16" t="n">
        <v>26513</v>
      </c>
      <c r="J20" s="16" t="n">
        <v>30368</v>
      </c>
      <c r="K20" s="7"/>
      <c r="L20" s="7"/>
      <c r="M20" s="16" t="n">
        <v>1523315</v>
      </c>
      <c r="N20" s="16" t="n">
        <v>773673</v>
      </c>
      <c r="O20" s="16" t="n">
        <v>426781</v>
      </c>
      <c r="P20" s="16" t="n">
        <v>243886</v>
      </c>
      <c r="Q20" s="16" t="n">
        <v>288865</v>
      </c>
      <c r="R20" s="16" t="n">
        <v>406824</v>
      </c>
      <c r="S20" s="7"/>
      <c r="T20" s="7"/>
      <c r="U20" s="16" t="n">
        <v>6645098</v>
      </c>
      <c r="V20" s="16" t="n">
        <v>3981161</v>
      </c>
      <c r="W20" s="16" t="n">
        <v>2154506</v>
      </c>
      <c r="X20" s="16" t="n">
        <v>1226989</v>
      </c>
      <c r="Y20" s="16" t="n">
        <v>1344271</v>
      </c>
      <c r="Z20" s="16" t="n">
        <v>1903042</v>
      </c>
      <c r="AA20" s="7"/>
      <c r="AB20" s="7"/>
      <c r="AC20" s="16" t="n">
        <v>31894112</v>
      </c>
      <c r="AD20" s="16" t="n">
        <v>16507745</v>
      </c>
      <c r="AE20" s="16" t="n">
        <v>9062786</v>
      </c>
      <c r="AF20" s="16" t="n">
        <v>5310123</v>
      </c>
      <c r="AG20" s="16" t="n">
        <v>5406705</v>
      </c>
      <c r="AH20" s="16" t="n">
        <v>5698911</v>
      </c>
      <c r="AI20" s="8"/>
    </row>
    <row r="21" customFormat="false" ht="16.4" hidden="false" customHeight="false" outlineLevel="0" collapsed="false">
      <c r="B21" s="9"/>
      <c r="C21" s="14"/>
      <c r="D21" s="15" t="s">
        <v>27</v>
      </c>
      <c r="E21" s="16" t="n">
        <v>164603</v>
      </c>
      <c r="F21" s="16" t="n">
        <v>87956</v>
      </c>
      <c r="G21" s="16" t="n">
        <v>49970</v>
      </c>
      <c r="H21" s="16" t="n">
        <v>27171</v>
      </c>
      <c r="I21" s="16" t="n">
        <v>28668</v>
      </c>
      <c r="J21" s="16" t="n">
        <v>31466</v>
      </c>
      <c r="K21" s="7"/>
      <c r="L21" s="7"/>
      <c r="M21" s="16" t="n">
        <v>1440445</v>
      </c>
      <c r="N21" s="16" t="n">
        <v>778392</v>
      </c>
      <c r="O21" s="16" t="n">
        <v>428648</v>
      </c>
      <c r="P21" s="16" t="n">
        <v>243320</v>
      </c>
      <c r="Q21" s="16" t="n">
        <v>285718</v>
      </c>
      <c r="R21" s="16" t="n">
        <v>392579</v>
      </c>
      <c r="S21" s="7"/>
      <c r="T21" s="7"/>
      <c r="U21" s="16" t="n">
        <v>6643914</v>
      </c>
      <c r="V21" s="16" t="n">
        <v>3987144</v>
      </c>
      <c r="W21" s="16" t="n">
        <v>2146441</v>
      </c>
      <c r="X21" s="16" t="n">
        <v>1228025</v>
      </c>
      <c r="Y21" s="16" t="n">
        <v>1349176</v>
      </c>
      <c r="Z21" s="16" t="n">
        <v>1892746</v>
      </c>
      <c r="AA21" s="7"/>
      <c r="AB21" s="7"/>
      <c r="AC21" s="16" t="n">
        <v>31888281</v>
      </c>
      <c r="AD21" s="16" t="n">
        <v>16475676</v>
      </c>
      <c r="AE21" s="16" t="n">
        <v>9021341</v>
      </c>
      <c r="AF21" s="16" t="n">
        <v>5305938</v>
      </c>
      <c r="AG21" s="16" t="n">
        <v>5431089</v>
      </c>
      <c r="AH21" s="16" t="n">
        <v>5667488</v>
      </c>
      <c r="AI21" s="8"/>
    </row>
    <row r="22" customFormat="false" ht="16.4" hidden="false" customHeight="false" outlineLevel="0" collapsed="false">
      <c r="B22" s="9"/>
      <c r="C22" s="14"/>
      <c r="D22" s="15" t="s">
        <v>28</v>
      </c>
      <c r="E22" s="16" t="n">
        <v>161861</v>
      </c>
      <c r="F22" s="16" t="n">
        <v>87504</v>
      </c>
      <c r="G22" s="16" t="n">
        <v>45415</v>
      </c>
      <c r="H22" s="16" t="n">
        <v>27325</v>
      </c>
      <c r="I22" s="16" t="n">
        <v>30649</v>
      </c>
      <c r="J22" s="16" t="n">
        <v>33512</v>
      </c>
      <c r="K22" s="7"/>
      <c r="L22" s="7"/>
      <c r="M22" s="16" t="n">
        <v>1521059</v>
      </c>
      <c r="N22" s="16" t="n">
        <v>766583</v>
      </c>
      <c r="O22" s="16" t="n">
        <v>435793</v>
      </c>
      <c r="P22" s="16" t="n">
        <v>244700</v>
      </c>
      <c r="Q22" s="16" t="n">
        <v>292803</v>
      </c>
      <c r="R22" s="16" t="n">
        <v>411949</v>
      </c>
      <c r="S22" s="7"/>
      <c r="T22" s="7"/>
      <c r="U22" s="16" t="n">
        <v>6633007</v>
      </c>
      <c r="V22" s="16" t="n">
        <v>3985073</v>
      </c>
      <c r="W22" s="16" t="n">
        <v>2149141</v>
      </c>
      <c r="X22" s="16" t="n">
        <v>1231116</v>
      </c>
      <c r="Y22" s="16" t="n">
        <v>1336598</v>
      </c>
      <c r="Z22" s="16" t="n">
        <v>1892610</v>
      </c>
      <c r="AA22" s="7"/>
      <c r="AB22" s="7"/>
      <c r="AC22" s="16" t="n">
        <v>31919468</v>
      </c>
      <c r="AD22" s="16" t="n">
        <v>16462999</v>
      </c>
      <c r="AE22" s="16" t="n">
        <v>9054873</v>
      </c>
      <c r="AF22" s="16" t="n">
        <v>5403656</v>
      </c>
      <c r="AG22" s="16" t="n">
        <v>5562173</v>
      </c>
      <c r="AH22" s="16" t="n">
        <v>5677347</v>
      </c>
      <c r="AI22" s="8"/>
    </row>
    <row r="23" customFormat="false" ht="16.4" hidden="false" customHeight="false" outlineLevel="0" collapsed="false">
      <c r="B23" s="9"/>
      <c r="C23" s="14"/>
      <c r="D23" s="15" t="s">
        <v>29</v>
      </c>
      <c r="E23" s="16" t="n">
        <v>161325</v>
      </c>
      <c r="F23" s="16" t="n">
        <v>87575</v>
      </c>
      <c r="G23" s="16" t="n">
        <v>50175</v>
      </c>
      <c r="H23" s="16" t="n">
        <v>27785</v>
      </c>
      <c r="I23" s="16" t="n">
        <v>28400</v>
      </c>
      <c r="J23" s="16" t="n">
        <v>32003</v>
      </c>
      <c r="K23" s="7"/>
      <c r="L23" s="7"/>
      <c r="M23" s="16" t="n">
        <v>1483311</v>
      </c>
      <c r="N23" s="16" t="n">
        <v>780285</v>
      </c>
      <c r="O23" s="16" t="n">
        <v>430887</v>
      </c>
      <c r="P23" s="16" t="n">
        <v>244573</v>
      </c>
      <c r="Q23" s="16" t="n">
        <v>306625</v>
      </c>
      <c r="R23" s="16" t="n">
        <v>413440</v>
      </c>
      <c r="S23" s="7"/>
      <c r="T23" s="7"/>
      <c r="U23" s="16" t="n">
        <v>6622574</v>
      </c>
      <c r="V23" s="16" t="n">
        <v>3989487</v>
      </c>
      <c r="W23" s="16" t="n">
        <v>2144664</v>
      </c>
      <c r="X23" s="16" t="n">
        <v>1222379</v>
      </c>
      <c r="Y23" s="16" t="n">
        <v>1333806</v>
      </c>
      <c r="Z23" s="16" t="n">
        <v>1870139</v>
      </c>
      <c r="AA23" s="7"/>
      <c r="AB23" s="7"/>
      <c r="AC23" s="16" t="n">
        <v>31891792</v>
      </c>
      <c r="AD23" s="16" t="n">
        <v>16445692</v>
      </c>
      <c r="AE23" s="16" t="n">
        <v>9295375</v>
      </c>
      <c r="AF23" s="16" t="n">
        <v>5399769</v>
      </c>
      <c r="AG23" s="16" t="n">
        <v>5668395</v>
      </c>
      <c r="AH23" s="16" t="n">
        <v>5763823</v>
      </c>
      <c r="AI23" s="8"/>
    </row>
    <row r="24" customFormat="false" ht="16.4" hidden="false" customHeight="false" outlineLevel="0" collapsed="false">
      <c r="B24" s="9"/>
      <c r="C24" s="14"/>
      <c r="D24" s="15" t="s">
        <v>30</v>
      </c>
      <c r="E24" s="16" t="n">
        <v>163014</v>
      </c>
      <c r="F24" s="16" t="n">
        <v>87888</v>
      </c>
      <c r="G24" s="16" t="n">
        <v>51376</v>
      </c>
      <c r="H24" s="16" t="n">
        <v>27084</v>
      </c>
      <c r="I24" s="16" t="n">
        <v>29933</v>
      </c>
      <c r="J24" s="16" t="n">
        <v>34605</v>
      </c>
      <c r="K24" s="7"/>
      <c r="L24" s="7"/>
      <c r="M24" s="16" t="n">
        <v>1446755</v>
      </c>
      <c r="N24" s="16" t="n">
        <v>780683</v>
      </c>
      <c r="O24" s="16" t="n">
        <v>430791</v>
      </c>
      <c r="P24" s="16" t="n">
        <v>245803</v>
      </c>
      <c r="Q24" s="16" t="n">
        <v>296782</v>
      </c>
      <c r="R24" s="16" t="n">
        <v>395558</v>
      </c>
      <c r="S24" s="7"/>
      <c r="T24" s="7"/>
      <c r="U24" s="16" t="n">
        <v>6631605</v>
      </c>
      <c r="V24" s="16" t="n">
        <v>3993070</v>
      </c>
      <c r="W24" s="16" t="n">
        <v>2154612</v>
      </c>
      <c r="X24" s="16" t="n">
        <v>1230330</v>
      </c>
      <c r="Y24" s="16" t="n">
        <v>1345348</v>
      </c>
      <c r="Z24" s="16" t="n">
        <v>1903671</v>
      </c>
      <c r="AA24" s="7"/>
      <c r="AB24" s="7"/>
      <c r="AC24" s="16" t="n">
        <v>31922498</v>
      </c>
      <c r="AD24" s="16" t="n">
        <v>16415970</v>
      </c>
      <c r="AE24" s="16" t="n">
        <v>9030090</v>
      </c>
      <c r="AF24" s="16" t="n">
        <v>5392976</v>
      </c>
      <c r="AG24" s="16" t="n">
        <v>5441063</v>
      </c>
      <c r="AH24" s="16" t="n">
        <v>5716073</v>
      </c>
      <c r="AI24" s="8"/>
    </row>
    <row r="25" customFormat="false" ht="16.4" hidden="false" customHeight="false" outlineLevel="0" collapsed="false">
      <c r="B25" s="9"/>
      <c r="C25" s="14"/>
      <c r="D25" s="15" t="s">
        <v>31</v>
      </c>
      <c r="E25" s="16" t="n">
        <v>160590</v>
      </c>
      <c r="F25" s="16" t="n">
        <v>87510</v>
      </c>
      <c r="G25" s="16" t="n">
        <v>46373</v>
      </c>
      <c r="H25" s="16" t="n">
        <v>42115</v>
      </c>
      <c r="I25" s="16" t="n">
        <v>28924</v>
      </c>
      <c r="J25" s="16" t="n">
        <v>36085</v>
      </c>
      <c r="K25" s="7"/>
      <c r="L25" s="7"/>
      <c r="M25" s="16" t="n">
        <v>1499704</v>
      </c>
      <c r="N25" s="16" t="n">
        <v>774221</v>
      </c>
      <c r="O25" s="16" t="n">
        <v>429528</v>
      </c>
      <c r="P25" s="16" t="n">
        <v>242951</v>
      </c>
      <c r="Q25" s="16" t="n">
        <v>285867</v>
      </c>
      <c r="R25" s="16" t="n">
        <v>397405</v>
      </c>
      <c r="S25" s="7"/>
      <c r="T25" s="7"/>
      <c r="U25" s="16" t="n">
        <v>6560011</v>
      </c>
      <c r="V25" s="16" t="n">
        <v>3994010</v>
      </c>
      <c r="W25" s="16" t="n">
        <v>2148026</v>
      </c>
      <c r="X25" s="16" t="n">
        <v>1233495</v>
      </c>
      <c r="Y25" s="16" t="n">
        <v>1340372</v>
      </c>
      <c r="Z25" s="16" t="n">
        <v>1876183</v>
      </c>
      <c r="AA25" s="7"/>
      <c r="AB25" s="7"/>
      <c r="AC25" s="16" t="n">
        <v>31597905</v>
      </c>
      <c r="AD25" s="16" t="n">
        <v>16516884</v>
      </c>
      <c r="AE25" s="16" t="n">
        <v>9062651</v>
      </c>
      <c r="AF25" s="16" t="n">
        <v>5398818</v>
      </c>
      <c r="AG25" s="16" t="n">
        <v>5345975</v>
      </c>
      <c r="AH25" s="16" t="n">
        <v>5672967</v>
      </c>
      <c r="AI25" s="8"/>
    </row>
    <row r="26" customFormat="false" ht="16.4" hidden="false" customHeight="false" outlineLevel="0" collapsed="false">
      <c r="B26" s="9"/>
      <c r="C26" s="14"/>
      <c r="D26" s="15" t="s">
        <v>32</v>
      </c>
      <c r="E26" s="16" t="n">
        <v>166903</v>
      </c>
      <c r="F26" s="16" t="n">
        <v>86599</v>
      </c>
      <c r="G26" s="16" t="n">
        <v>48925</v>
      </c>
      <c r="H26" s="16" t="n">
        <v>25649</v>
      </c>
      <c r="I26" s="16" t="n">
        <v>28753</v>
      </c>
      <c r="J26" s="16" t="n">
        <v>33117</v>
      </c>
      <c r="K26" s="7"/>
      <c r="L26" s="7"/>
      <c r="M26" s="16" t="n">
        <v>1507266</v>
      </c>
      <c r="N26" s="16" t="n">
        <v>773926</v>
      </c>
      <c r="O26" s="16" t="n">
        <v>428670</v>
      </c>
      <c r="P26" s="16" t="n">
        <v>244495</v>
      </c>
      <c r="Q26" s="16" t="n">
        <v>290479</v>
      </c>
      <c r="R26" s="16" t="n">
        <v>396002</v>
      </c>
      <c r="S26" s="7"/>
      <c r="T26" s="7"/>
      <c r="U26" s="16" t="n">
        <v>6560509</v>
      </c>
      <c r="V26" s="16" t="n">
        <v>3992433</v>
      </c>
      <c r="W26" s="16" t="n">
        <v>2146025</v>
      </c>
      <c r="X26" s="16" t="n">
        <v>1225629</v>
      </c>
      <c r="Y26" s="16" t="n">
        <v>1339379</v>
      </c>
      <c r="Z26" s="16" t="n">
        <v>1882860</v>
      </c>
      <c r="AA26" s="7"/>
      <c r="AB26" s="7"/>
      <c r="AC26" s="16" t="n">
        <v>31799543</v>
      </c>
      <c r="AD26" s="16" t="n">
        <v>16453413</v>
      </c>
      <c r="AE26" s="16" t="n">
        <v>9171992</v>
      </c>
      <c r="AF26" s="16" t="n">
        <v>5467860</v>
      </c>
      <c r="AG26" s="16" t="n">
        <v>5401506</v>
      </c>
      <c r="AH26" s="16" t="n">
        <v>5661682</v>
      </c>
      <c r="AI26" s="8"/>
    </row>
    <row r="27" customFormat="false" ht="16.4" hidden="false" customHeight="false" outlineLevel="0" collapsed="false">
      <c r="B27" s="9"/>
      <c r="C27" s="14"/>
      <c r="D27" s="15" t="s">
        <v>33</v>
      </c>
      <c r="E27" s="16" t="n">
        <v>168948</v>
      </c>
      <c r="F27" s="16" t="n">
        <v>87457</v>
      </c>
      <c r="G27" s="16" t="n">
        <v>50966</v>
      </c>
      <c r="H27" s="16" t="n">
        <v>27515</v>
      </c>
      <c r="I27" s="16" t="n">
        <v>28386</v>
      </c>
      <c r="J27" s="16" t="n">
        <v>33935</v>
      </c>
      <c r="K27" s="7"/>
      <c r="L27" s="7"/>
      <c r="M27" s="16" t="n">
        <v>1567109</v>
      </c>
      <c r="N27" s="16" t="n">
        <v>768417</v>
      </c>
      <c r="O27" s="16" t="n">
        <v>435344</v>
      </c>
      <c r="P27" s="16" t="n">
        <v>244086</v>
      </c>
      <c r="Q27" s="16" t="n">
        <v>293410</v>
      </c>
      <c r="R27" s="16" t="n">
        <v>405213</v>
      </c>
      <c r="S27" s="7"/>
      <c r="T27" s="7"/>
      <c r="U27" s="16" t="n">
        <v>6525161</v>
      </c>
      <c r="V27" s="16" t="n">
        <v>4012705</v>
      </c>
      <c r="W27" s="16" t="n">
        <v>2150638</v>
      </c>
      <c r="X27" s="16" t="n">
        <v>1234381</v>
      </c>
      <c r="Y27" s="16" t="n">
        <v>1356083</v>
      </c>
      <c r="Z27" s="16" t="n">
        <v>1882085</v>
      </c>
      <c r="AA27" s="7"/>
      <c r="AB27" s="7"/>
      <c r="AC27" s="16" t="n">
        <v>31956694</v>
      </c>
      <c r="AD27" s="16" t="n">
        <v>16395965</v>
      </c>
      <c r="AE27" s="16" t="n">
        <v>9068847</v>
      </c>
      <c r="AF27" s="16" t="n">
        <v>5381208</v>
      </c>
      <c r="AG27" s="16" t="n">
        <v>5592174</v>
      </c>
      <c r="AH27" s="16" t="n">
        <v>5681777</v>
      </c>
      <c r="AI27" s="8"/>
    </row>
    <row r="28" customFormat="false" ht="16.4" hidden="false" customHeight="false" outlineLevel="0" collapsed="false">
      <c r="B28" s="9"/>
      <c r="C28" s="14"/>
      <c r="D28" s="15" t="s">
        <v>34</v>
      </c>
      <c r="E28" s="16" t="n">
        <v>169600</v>
      </c>
      <c r="F28" s="16" t="n">
        <v>86924</v>
      </c>
      <c r="G28" s="16" t="n">
        <v>49461</v>
      </c>
      <c r="H28" s="16" t="n">
        <v>28252</v>
      </c>
      <c r="I28" s="16" t="n">
        <v>28742</v>
      </c>
      <c r="J28" s="16" t="n">
        <v>35307</v>
      </c>
      <c r="K28" s="7"/>
      <c r="L28" s="7"/>
      <c r="M28" s="16" t="n">
        <v>1453977</v>
      </c>
      <c r="N28" s="16" t="n">
        <v>777294</v>
      </c>
      <c r="O28" s="16" t="n">
        <v>426365</v>
      </c>
      <c r="P28" s="16" t="n">
        <v>243305</v>
      </c>
      <c r="Q28" s="16" t="n">
        <v>288323</v>
      </c>
      <c r="R28" s="16" t="n">
        <v>398529</v>
      </c>
      <c r="S28" s="7"/>
      <c r="T28" s="7"/>
      <c r="U28" s="16" t="n">
        <v>6618298</v>
      </c>
      <c r="V28" s="16" t="n">
        <v>3999042</v>
      </c>
      <c r="W28" s="16" t="n">
        <v>2151514</v>
      </c>
      <c r="X28" s="16" t="n">
        <v>1236680</v>
      </c>
      <c r="Y28" s="16" t="n">
        <v>1336947</v>
      </c>
      <c r="Z28" s="16" t="n">
        <v>1891879</v>
      </c>
      <c r="AA28" s="7"/>
      <c r="AB28" s="7"/>
      <c r="AC28" s="16" t="n">
        <v>31746030</v>
      </c>
      <c r="AD28" s="16" t="n">
        <v>16448989</v>
      </c>
      <c r="AE28" s="16" t="n">
        <v>9172585</v>
      </c>
      <c r="AF28" s="16" t="n">
        <v>5321050</v>
      </c>
      <c r="AG28" s="16" t="n">
        <v>5433483</v>
      </c>
      <c r="AH28" s="16" t="n">
        <v>5677702</v>
      </c>
      <c r="AI28" s="8"/>
    </row>
    <row r="29" customFormat="false" ht="16.4" hidden="false" customHeight="false" outlineLevel="0" collapsed="false">
      <c r="B29" s="9"/>
      <c r="C29" s="14"/>
      <c r="D29" s="15" t="s">
        <v>35</v>
      </c>
      <c r="E29" s="16" t="n">
        <v>161279</v>
      </c>
      <c r="F29" s="16" t="n">
        <v>87294</v>
      </c>
      <c r="G29" s="16" t="n">
        <v>47873</v>
      </c>
      <c r="H29" s="16" t="n">
        <v>26899</v>
      </c>
      <c r="I29" s="16" t="n">
        <v>29297</v>
      </c>
      <c r="J29" s="16" t="n">
        <v>31835</v>
      </c>
      <c r="K29" s="7"/>
      <c r="L29" s="7"/>
      <c r="M29" s="16" t="n">
        <v>1459235</v>
      </c>
      <c r="N29" s="16" t="n">
        <v>779162</v>
      </c>
      <c r="O29" s="16" t="n">
        <v>432321</v>
      </c>
      <c r="P29" s="16" t="n">
        <v>243653</v>
      </c>
      <c r="Q29" s="16" t="n">
        <v>282543</v>
      </c>
      <c r="R29" s="16" t="n">
        <v>402630</v>
      </c>
      <c r="S29" s="7"/>
      <c r="T29" s="7"/>
      <c r="U29" s="16" t="n">
        <v>6629044</v>
      </c>
      <c r="V29" s="16" t="n">
        <v>3999156</v>
      </c>
      <c r="W29" s="16" t="n">
        <v>2163517</v>
      </c>
      <c r="X29" s="16" t="n">
        <v>1219142</v>
      </c>
      <c r="Y29" s="16" t="n">
        <v>1346093</v>
      </c>
      <c r="Z29" s="16" t="n">
        <v>1876275</v>
      </c>
      <c r="AA29" s="7"/>
      <c r="AB29" s="7"/>
      <c r="AC29" s="16" t="n">
        <v>31838694</v>
      </c>
      <c r="AD29" s="16" t="n">
        <v>16412716</v>
      </c>
      <c r="AE29" s="16" t="n">
        <v>9021534</v>
      </c>
      <c r="AF29" s="16" t="n">
        <v>5355924</v>
      </c>
      <c r="AG29" s="16" t="n">
        <v>5644280</v>
      </c>
      <c r="AH29" s="16" t="n">
        <v>5706097</v>
      </c>
      <c r="AI29" s="8"/>
    </row>
    <row r="30" customFormat="false" ht="16.4" hidden="false" customHeight="false" outlineLevel="0" collapsed="false">
      <c r="B30" s="9"/>
      <c r="C30" s="14"/>
      <c r="D30" s="15" t="s">
        <v>36</v>
      </c>
      <c r="E30" s="16" t="n">
        <v>165225</v>
      </c>
      <c r="F30" s="16" t="n">
        <v>86252</v>
      </c>
      <c r="G30" s="16" t="n">
        <v>49177</v>
      </c>
      <c r="H30" s="16" t="n">
        <v>31077</v>
      </c>
      <c r="I30" s="16" t="n">
        <v>26467</v>
      </c>
      <c r="J30" s="16" t="n">
        <v>34029</v>
      </c>
      <c r="K30" s="7"/>
      <c r="L30" s="7"/>
      <c r="M30" s="16" t="n">
        <v>1449689</v>
      </c>
      <c r="N30" s="16" t="n">
        <v>779615</v>
      </c>
      <c r="O30" s="16" t="n">
        <v>429831</v>
      </c>
      <c r="P30" s="16" t="n">
        <v>246549</v>
      </c>
      <c r="Q30" s="16" t="n">
        <v>301588</v>
      </c>
      <c r="R30" s="16" t="n">
        <v>414161</v>
      </c>
      <c r="S30" s="7"/>
      <c r="T30" s="7"/>
      <c r="U30" s="16" t="n">
        <v>6651393</v>
      </c>
      <c r="V30" s="16" t="n">
        <v>3983973</v>
      </c>
      <c r="W30" s="16" t="n">
        <v>2141753</v>
      </c>
      <c r="X30" s="16" t="n">
        <v>1231764</v>
      </c>
      <c r="Y30" s="16" t="n">
        <v>1336045</v>
      </c>
      <c r="Z30" s="16" t="n">
        <v>1889497</v>
      </c>
      <c r="AA30" s="7"/>
      <c r="AB30" s="7"/>
      <c r="AC30" s="16" t="n">
        <v>31429129</v>
      </c>
      <c r="AD30" s="16" t="n">
        <v>16438753</v>
      </c>
      <c r="AE30" s="16" t="n">
        <v>9155610</v>
      </c>
      <c r="AF30" s="16" t="n">
        <v>5340748</v>
      </c>
      <c r="AG30" s="16" t="n">
        <v>5517869</v>
      </c>
      <c r="AH30" s="16" t="n">
        <v>5667822</v>
      </c>
      <c r="AI30" s="8"/>
    </row>
    <row r="31" customFormat="false" ht="16.4" hidden="false" customHeight="false" outlineLevel="0" collapsed="false">
      <c r="B31" s="9"/>
      <c r="C31" s="14"/>
      <c r="D31" s="15" t="s">
        <v>37</v>
      </c>
      <c r="E31" s="16" t="n">
        <v>164768</v>
      </c>
      <c r="F31" s="16" t="n">
        <v>86010</v>
      </c>
      <c r="G31" s="16" t="n">
        <v>48759</v>
      </c>
      <c r="H31" s="16" t="n">
        <v>26459</v>
      </c>
      <c r="I31" s="16" t="n">
        <v>31604</v>
      </c>
      <c r="J31" s="16" t="n">
        <v>33338</v>
      </c>
      <c r="K31" s="7"/>
      <c r="L31" s="7"/>
      <c r="M31" s="16" t="n">
        <v>1447045</v>
      </c>
      <c r="N31" s="16" t="n">
        <v>777465</v>
      </c>
      <c r="O31" s="16" t="n">
        <v>437022</v>
      </c>
      <c r="P31" s="16" t="n">
        <v>246183</v>
      </c>
      <c r="Q31" s="16" t="n">
        <v>293235</v>
      </c>
      <c r="R31" s="16" t="n">
        <v>404496</v>
      </c>
      <c r="S31" s="7"/>
      <c r="T31" s="7"/>
      <c r="U31" s="16" t="n">
        <v>6639722</v>
      </c>
      <c r="V31" s="16" t="n">
        <v>3990502</v>
      </c>
      <c r="W31" s="16" t="n">
        <v>2147197</v>
      </c>
      <c r="X31" s="16" t="n">
        <v>1232687</v>
      </c>
      <c r="Y31" s="16" t="n">
        <v>1369223</v>
      </c>
      <c r="Z31" s="16" t="n">
        <v>1899898</v>
      </c>
      <c r="AA31" s="7"/>
      <c r="AB31" s="7"/>
      <c r="AC31" s="16" t="n">
        <v>31916488</v>
      </c>
      <c r="AD31" s="16" t="n">
        <v>16464998</v>
      </c>
      <c r="AE31" s="16" t="n">
        <v>9055394</v>
      </c>
      <c r="AF31" s="16" t="n">
        <v>5318825</v>
      </c>
      <c r="AG31" s="16" t="n">
        <v>5473122</v>
      </c>
      <c r="AH31" s="16" t="n">
        <v>5666922</v>
      </c>
      <c r="AI31" s="8"/>
    </row>
    <row r="32" customFormat="false" ht="16.4" hidden="false" customHeight="false" outlineLevel="0" collapsed="false">
      <c r="B32" s="9"/>
      <c r="C32" s="14"/>
      <c r="D32" s="15" t="s">
        <v>38</v>
      </c>
      <c r="E32" s="16" t="n">
        <v>161406</v>
      </c>
      <c r="F32" s="16" t="n">
        <v>87069</v>
      </c>
      <c r="G32" s="16" t="n">
        <v>48118</v>
      </c>
      <c r="H32" s="16" t="n">
        <v>27723</v>
      </c>
      <c r="I32" s="16" t="n">
        <v>29027</v>
      </c>
      <c r="J32" s="16" t="n">
        <v>32347</v>
      </c>
      <c r="K32" s="7"/>
      <c r="L32" s="7"/>
      <c r="M32" s="16" t="n">
        <v>1475309</v>
      </c>
      <c r="N32" s="16" t="n">
        <v>778882</v>
      </c>
      <c r="O32" s="16" t="n">
        <v>440343</v>
      </c>
      <c r="P32" s="16" t="n">
        <v>244620</v>
      </c>
      <c r="Q32" s="16" t="n">
        <v>284658</v>
      </c>
      <c r="R32" s="16" t="n">
        <v>415494</v>
      </c>
      <c r="S32" s="7"/>
      <c r="T32" s="7"/>
      <c r="U32" s="16" t="n">
        <v>6634558</v>
      </c>
      <c r="V32" s="16" t="n">
        <v>3994789</v>
      </c>
      <c r="W32" s="16" t="n">
        <v>2153609</v>
      </c>
      <c r="X32" s="16" t="n">
        <v>1230723</v>
      </c>
      <c r="Y32" s="16" t="n">
        <v>1362256</v>
      </c>
      <c r="Z32" s="16" t="n">
        <v>1884383</v>
      </c>
      <c r="AA32" s="7"/>
      <c r="AB32" s="7"/>
      <c r="AC32" s="16" t="n">
        <v>31964501</v>
      </c>
      <c r="AD32" s="16" t="n">
        <v>16457545</v>
      </c>
      <c r="AE32" s="16" t="n">
        <v>9069417</v>
      </c>
      <c r="AF32" s="16" t="n">
        <v>5359145</v>
      </c>
      <c r="AG32" s="16" t="n">
        <v>5448256</v>
      </c>
      <c r="AH32" s="16" t="n">
        <v>5729020</v>
      </c>
      <c r="AI32" s="8"/>
    </row>
    <row r="33" customFormat="false" ht="16.4" hidden="false" customHeight="false" outlineLevel="0" collapsed="false">
      <c r="B33" s="9"/>
      <c r="C33" s="14"/>
      <c r="D33" s="15" t="s">
        <v>39</v>
      </c>
      <c r="E33" s="16" t="n">
        <v>161032</v>
      </c>
      <c r="F33" s="16" t="n">
        <v>87274</v>
      </c>
      <c r="G33" s="16" t="n">
        <v>48440</v>
      </c>
      <c r="H33" s="16" t="n">
        <v>27833</v>
      </c>
      <c r="I33" s="16" t="n">
        <v>27696</v>
      </c>
      <c r="J33" s="16" t="n">
        <v>35044</v>
      </c>
      <c r="K33" s="7"/>
      <c r="L33" s="7"/>
      <c r="M33" s="16" t="n">
        <v>1520927</v>
      </c>
      <c r="N33" s="16" t="n">
        <v>779060</v>
      </c>
      <c r="O33" s="16" t="n">
        <v>434059</v>
      </c>
      <c r="P33" s="16" t="n">
        <v>245315</v>
      </c>
      <c r="Q33" s="16" t="n">
        <v>281869</v>
      </c>
      <c r="R33" s="16" t="n">
        <v>408143</v>
      </c>
      <c r="S33" s="7"/>
      <c r="T33" s="7"/>
      <c r="U33" s="16" t="n">
        <v>6629416</v>
      </c>
      <c r="V33" s="16" t="n">
        <v>3996669</v>
      </c>
      <c r="W33" s="16" t="n">
        <v>2155785</v>
      </c>
      <c r="X33" s="16" t="n">
        <v>1231008</v>
      </c>
      <c r="Y33" s="16" t="n">
        <v>1351884</v>
      </c>
      <c r="Z33" s="16" t="n">
        <v>1881728</v>
      </c>
      <c r="AA33" s="7"/>
      <c r="AB33" s="7"/>
      <c r="AC33" s="16" t="n">
        <v>31597868</v>
      </c>
      <c r="AD33" s="16" t="n">
        <v>16431509</v>
      </c>
      <c r="AE33" s="16" t="n">
        <v>9009287</v>
      </c>
      <c r="AF33" s="16" t="n">
        <v>5508454</v>
      </c>
      <c r="AG33" s="16" t="n">
        <v>5389258</v>
      </c>
      <c r="AH33" s="16" t="n">
        <v>5688189</v>
      </c>
      <c r="AI33" s="8"/>
    </row>
    <row r="34" customFormat="false" ht="16.4" hidden="false" customHeight="false" outlineLevel="0" collapsed="false">
      <c r="B34" s="9"/>
      <c r="C34" s="14"/>
      <c r="D34" s="15" t="s">
        <v>40</v>
      </c>
      <c r="E34" s="16" t="n">
        <v>163029</v>
      </c>
      <c r="F34" s="16" t="n">
        <v>86610</v>
      </c>
      <c r="G34" s="16" t="n">
        <v>51225</v>
      </c>
      <c r="H34" s="16" t="n">
        <v>27842</v>
      </c>
      <c r="I34" s="16" t="n">
        <v>29175</v>
      </c>
      <c r="J34" s="16" t="n">
        <v>35220</v>
      </c>
      <c r="K34" s="7"/>
      <c r="L34" s="7"/>
      <c r="M34" s="16" t="n">
        <v>1454062</v>
      </c>
      <c r="N34" s="16" t="n">
        <v>778888</v>
      </c>
      <c r="O34" s="16" t="n">
        <v>440206</v>
      </c>
      <c r="P34" s="16" t="n">
        <v>244121</v>
      </c>
      <c r="Q34" s="16" t="n">
        <v>289177</v>
      </c>
      <c r="R34" s="16" t="n">
        <v>411392</v>
      </c>
      <c r="S34" s="7"/>
      <c r="T34" s="7"/>
      <c r="U34" s="16" t="n">
        <v>6582963</v>
      </c>
      <c r="V34" s="16" t="n">
        <v>3994897</v>
      </c>
      <c r="W34" s="16" t="n">
        <v>2151409</v>
      </c>
      <c r="X34" s="16" t="n">
        <v>1236747</v>
      </c>
      <c r="Y34" s="16" t="n">
        <v>1381217</v>
      </c>
      <c r="Z34" s="16" t="n">
        <v>1907177</v>
      </c>
      <c r="AA34" s="7"/>
      <c r="AB34" s="7"/>
      <c r="AC34" s="16" t="n">
        <v>31621228</v>
      </c>
      <c r="AD34" s="16" t="n">
        <v>16429932</v>
      </c>
      <c r="AE34" s="16" t="n">
        <v>9037179</v>
      </c>
      <c r="AF34" s="16" t="n">
        <v>5334066</v>
      </c>
      <c r="AG34" s="16" t="n">
        <v>5331239</v>
      </c>
      <c r="AH34" s="16" t="n">
        <v>5669414</v>
      </c>
      <c r="AI34" s="8"/>
    </row>
    <row r="35" customFormat="false" ht="14.25" hidden="false" customHeight="false" outlineLevel="0" collapsed="false">
      <c r="B35" s="9"/>
      <c r="C35" s="18"/>
      <c r="D35" s="19" t="s">
        <v>41</v>
      </c>
      <c r="E35" s="20" t="n">
        <f aca="false" t="array" ref="E35:E35">ROUND(AVERAGE(IF((ISNUMBER(E5:E34))*(E5:E34&lt;LARGE(E5:E34,2))*(E5:E34&gt;SMALL(E5:E34,2)),E5:E34)),0)</f>
        <v>166048</v>
      </c>
      <c r="F35" s="20" t="n">
        <f aca="false" t="array" ref="F35:F35">ROUND(AVERAGE(IF((ISNUMBER(F5:F34))*(F5:F34&lt;LARGE(F5:F34,2))*(F5:F34&gt;SMALL(F5:F34,2)),F5:F34)),0)</f>
        <v>86483</v>
      </c>
      <c r="G35" s="20" t="n">
        <f aca="false" t="array" ref="G35:G35">ROUND(AVERAGE(IF((ISNUMBER(G5:G34))*(G5:G34&lt;LARGE(G5:G34,2))*(G5:G34&gt;SMALL(G5:G34,2)),G5:G34)),0)</f>
        <v>48893</v>
      </c>
      <c r="H35" s="20" t="n">
        <f aca="false" t="array" ref="H35:H35">ROUND(AVERAGE(IF((ISNUMBER(H5:H34))*(H5:H34&lt;LARGE(H5:H34,2))*(H5:H34&gt;SMALL(H5:H34,2)),H5:H34)),0)</f>
        <v>28005</v>
      </c>
      <c r="I35" s="20" t="n">
        <f aca="false" t="array" ref="I35:I35">ROUND(AVERAGE(IF((ISNUMBER(I5:I34))*(I5:I34&lt;LARGE(I5:I34,2))*(I5:I34&gt;SMALL(I5:I34,2)),I5:I34)),0)</f>
        <v>29068</v>
      </c>
      <c r="J35" s="20" t="n">
        <f aca="false" t="array" ref="J35:J35">ROUND(AVERAGE(IF((ISNUMBER(J5:J34))*(J5:J34&lt;LARGE(J5:J34,2))*(J5:J34&gt;SMALL(J5:J34,2)),J5:J34)),0)</f>
        <v>33560</v>
      </c>
      <c r="K35" s="20"/>
      <c r="L35" s="20"/>
      <c r="M35" s="20" t="n">
        <f aca="false" t="array" ref="M35:M35">ROUND(AVERAGE(IF((ISNUMBER(M5:M34))*(M5:M34&lt;LARGE(M5:M34,2))*(M5:M34&gt;SMALL(M5:M34,2)),M5:M34)),0)</f>
        <v>1470261</v>
      </c>
      <c r="N35" s="20" t="n">
        <f aca="false" t="array" ref="N35:N35">ROUND(AVERAGE(IF((ISNUMBER(N5:N34))*(N5:N34&lt;LARGE(N5:N34,2))*(N5:N34&gt;SMALL(N5:N34,2)),N5:N34)),0)</f>
        <v>774087</v>
      </c>
      <c r="O35" s="20" t="n">
        <f aca="false" t="array" ref="O35:O35">ROUND(AVERAGE(IF((ISNUMBER(O5:O34))*(O5:O34&lt;LARGE(O5:O34,2))*(O5:O34&gt;SMALL(O5:O34,2)),O5:O34)),0)</f>
        <v>430404</v>
      </c>
      <c r="P35" s="20" t="n">
        <f aca="false" t="array" ref="P35:P35">ROUND(AVERAGE(IF((ISNUMBER(P5:P34))*(P5:P34&lt;LARGE(P5:P34,2))*(P5:P34&gt;SMALL(P5:P34,2)),P5:P34)),0)</f>
        <v>243755</v>
      </c>
      <c r="Q35" s="20" t="n">
        <f aca="false" t="array" ref="Q35:Q35">ROUND(AVERAGE(IF((ISNUMBER(Q5:Q34))*(Q5:Q34&lt;LARGE(Q5:Q34,2))*(Q5:Q34&gt;SMALL(Q5:Q34,2)),Q5:Q34)),0)</f>
        <v>293480</v>
      </c>
      <c r="R35" s="20" t="n">
        <f aca="false" t="array" ref="R35:R35">ROUND(AVERAGE(IF((ISNUMBER(R5:R34))*(R5:R34&lt;LARGE(R5:R34,2))*(R5:R34&gt;SMALL(R5:R34,2)),R5:R34)),0)</f>
        <v>403824</v>
      </c>
      <c r="S35" s="20"/>
      <c r="T35" s="20"/>
      <c r="U35" s="20" t="n">
        <f aca="false" t="array" ref="U35:U35">ROUND(AVERAGE(IF((ISNUMBER(U5:U34))*(U5:U34&lt;LARGE(U5:U34,2))*(U5:U34&gt;SMALL(U5:U34,2)),U5:U34)),0)</f>
        <v>6620212</v>
      </c>
      <c r="V35" s="20" t="n">
        <f aca="false" t="array" ref="V35:V35">ROUND(AVERAGE(IF((ISNUMBER(V5:V34))*(V5:V34&lt;LARGE(V5:V34,2))*(V5:V34&gt;SMALL(V5:V34,2)),V5:V34)),0)</f>
        <v>3980169</v>
      </c>
      <c r="W35" s="20" t="n">
        <f aca="false" t="array" ref="W35:W35">ROUND(AVERAGE(IF((ISNUMBER(W5:W34))*(W5:W34&lt;LARGE(W5:W34,2))*(W5:W34&gt;SMALL(W5:W34,2)),W5:W34)),0)</f>
        <v>2149252</v>
      </c>
      <c r="X35" s="20" t="n">
        <f aca="false" t="array" ref="X35:X35">ROUND(AVERAGE(IF((ISNUMBER(X5:X34))*(X5:X34&lt;LARGE(X5:X34,2))*(X5:X34&gt;SMALL(X5:X34,2)),X5:X34)),0)</f>
        <v>1223579</v>
      </c>
      <c r="Y35" s="20" t="n">
        <f aca="false" t="array" ref="Y35:Y35">ROUND(AVERAGE(IF((ISNUMBER(Y5:Y34))*(Y5:Y34&lt;LARGE(Y5:Y34,2))*(Y5:Y34&gt;SMALL(Y5:Y34,2)),Y5:Y34)),0)</f>
        <v>1351714</v>
      </c>
      <c r="Z35" s="20" t="n">
        <f aca="false" t="array" ref="Z35:Z35">ROUND(AVERAGE(IF((ISNUMBER(Z5:Z34))*(Z5:Z34&lt;LARGE(Z5:Z34,2))*(Z5:Z34&gt;SMALL(Z5:Z34,2)),Z5:Z34)),0)</f>
        <v>1890962</v>
      </c>
      <c r="AA35" s="20"/>
      <c r="AB35" s="20"/>
      <c r="AC35" s="20" t="n">
        <f aca="false" t="array" ref="AC35:AC35">ROUND(AVERAGE(IF((ISNUMBER(AC5:AC34))*(AC5:AC34&lt;LARGE(AC5:AC34,2))*(AC5:AC34&gt;SMALL(AC5:AC34,2)),AC5:AC34)),0)</f>
        <v>31908429</v>
      </c>
      <c r="AD35" s="20" t="n">
        <f aca="false" t="array" ref="AD35:AD35">ROUND(AVERAGE(IF((ISNUMBER(AD5:AD34))*(AD5:AD34&lt;LARGE(AD5:AD34,2))*(AD5:AD34&gt;SMALL(AD5:AD34,2)),AD5:AD34)),0)</f>
        <v>16460866</v>
      </c>
      <c r="AE35" s="20" t="n">
        <f aca="false" t="array" ref="AE35:AE35">ROUND(AVERAGE(IF((ISNUMBER(AE5:AE34))*(AE5:AE34&lt;LARGE(AE5:AE34,2))*(AE5:AE34&gt;SMALL(AE5:AE34,2)),AE5:AE34)),0)</f>
        <v>9035650</v>
      </c>
      <c r="AF35" s="20" t="n">
        <f aca="false" t="array" ref="AF35:AF35">ROUND(AVERAGE(IF((ISNUMBER(AF5:AF34))*(AF5:AF34&lt;LARGE(AF5:AF34,2))*(AF5:AF34&gt;SMALL(AF5:AF34,2)),AF5:AF34)),0)</f>
        <v>5324876</v>
      </c>
      <c r="AG35" s="20" t="n">
        <f aca="false" t="array" ref="AG35:AG35">ROUND(AVERAGE(IF((ISNUMBER(AG5:AG34))*(AG5:AG34&lt;LARGE(AG5:AG34,2))*(AG5:AG34&gt;SMALL(AG5:AG34,2)),AG5:AG34)),0)</f>
        <v>5450766</v>
      </c>
      <c r="AH35" s="21" t="n">
        <f aca="false" t="array" ref="AH35:AH35">ROUND(AVERAGE(IF((ISNUMBER(AH5:AH34))*(AH5:AH34&lt;LARGE(AH5:AH34,2))*(AH5:AH34&gt;SMALL(AH5:AH34,2)),AH5:AH34)),0)</f>
        <v>5683951</v>
      </c>
      <c r="AI35" s="8"/>
    </row>
    <row r="36" customFormat="false" ht="14.25" hidden="false" customHeight="false" outlineLevel="0" collapsed="false"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5"/>
    </row>
    <row r="37" customFormat="false" ht="14.25" hidden="false" customHeight="false" outlineLevel="0" collapsed="false">
      <c r="B37" s="26"/>
      <c r="C37" s="7"/>
      <c r="D37" s="1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customFormat="false" ht="33.85" hidden="false" customHeight="false" outlineLevel="0" collapsed="false">
      <c r="B38" s="1" t="s">
        <v>42</v>
      </c>
      <c r="C38" s="2"/>
      <c r="D38" s="2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4"/>
    </row>
    <row r="39" customFormat="false" ht="14.25" hidden="false" customHeight="false" outlineLevel="0" collapsed="false">
      <c r="B39" s="5"/>
      <c r="C39" s="6"/>
      <c r="D39" s="28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8"/>
    </row>
    <row r="40" customFormat="false" ht="14.25" hidden="false" customHeight="false" outlineLevel="0" collapsed="false">
      <c r="B40" s="9"/>
      <c r="C40" s="10" t="s">
        <v>1</v>
      </c>
      <c r="D40" s="11"/>
      <c r="E40" s="11" t="s">
        <v>2</v>
      </c>
      <c r="F40" s="11" t="s">
        <v>3</v>
      </c>
      <c r="G40" s="11" t="s">
        <v>4</v>
      </c>
      <c r="H40" s="11" t="s">
        <v>5</v>
      </c>
      <c r="I40" s="11" t="s">
        <v>6</v>
      </c>
      <c r="J40" s="11" t="s">
        <v>7</v>
      </c>
      <c r="K40" s="12" t="s">
        <v>8</v>
      </c>
      <c r="L40" s="12"/>
      <c r="M40" s="11" t="s">
        <v>2</v>
      </c>
      <c r="N40" s="11" t="s">
        <v>3</v>
      </c>
      <c r="O40" s="11" t="s">
        <v>4</v>
      </c>
      <c r="P40" s="11" t="s">
        <v>5</v>
      </c>
      <c r="Q40" s="11" t="s">
        <v>6</v>
      </c>
      <c r="R40" s="11" t="s">
        <v>7</v>
      </c>
      <c r="S40" s="12" t="s">
        <v>43</v>
      </c>
      <c r="T40" s="12"/>
      <c r="U40" s="11" t="s">
        <v>2</v>
      </c>
      <c r="V40" s="11" t="s">
        <v>3</v>
      </c>
      <c r="W40" s="11" t="s">
        <v>4</v>
      </c>
      <c r="X40" s="11" t="s">
        <v>5</v>
      </c>
      <c r="Y40" s="11" t="s">
        <v>6</v>
      </c>
      <c r="Z40" s="11" t="s">
        <v>7</v>
      </c>
      <c r="AA40" s="12" t="s">
        <v>10</v>
      </c>
      <c r="AB40" s="12"/>
      <c r="AC40" s="11" t="s">
        <v>2</v>
      </c>
      <c r="AD40" s="11" t="s">
        <v>3</v>
      </c>
      <c r="AE40" s="11" t="s">
        <v>4</v>
      </c>
      <c r="AF40" s="11" t="s">
        <v>5</v>
      </c>
      <c r="AG40" s="11" t="s">
        <v>6</v>
      </c>
      <c r="AH40" s="13" t="s">
        <v>7</v>
      </c>
      <c r="AI40" s="8"/>
    </row>
    <row r="41" customFormat="false" ht="16.4" hidden="false" customHeight="false" outlineLevel="0" collapsed="false">
      <c r="B41" s="9"/>
      <c r="C41" s="14"/>
      <c r="D41" s="15" t="s">
        <v>11</v>
      </c>
      <c r="E41" s="16" t="n">
        <v>160059</v>
      </c>
      <c r="F41" s="16" t="n">
        <v>82731</v>
      </c>
      <c r="G41" s="16" t="n">
        <v>43092</v>
      </c>
      <c r="H41" s="16" t="n">
        <v>25078</v>
      </c>
      <c r="I41" s="16" t="n">
        <v>20621</v>
      </c>
      <c r="J41" s="16" t="n">
        <v>28113</v>
      </c>
      <c r="K41" s="7"/>
      <c r="L41" s="7"/>
      <c r="M41" s="16" t="n">
        <v>1282520</v>
      </c>
      <c r="N41" s="16" t="n">
        <v>660570</v>
      </c>
      <c r="O41" s="16" t="n">
        <v>346368</v>
      </c>
      <c r="P41" s="16" t="n">
        <v>192644</v>
      </c>
      <c r="Q41" s="16" t="n">
        <v>157623</v>
      </c>
      <c r="R41" s="16" t="n">
        <v>151451</v>
      </c>
      <c r="S41" s="7"/>
      <c r="T41" s="7"/>
      <c r="U41" s="16" t="n">
        <v>4458740</v>
      </c>
      <c r="V41" s="16" t="n">
        <v>2301011</v>
      </c>
      <c r="W41" s="16" t="n">
        <v>1208830</v>
      </c>
      <c r="X41" s="16" t="n">
        <v>688980</v>
      </c>
      <c r="Y41" s="16" t="n">
        <v>546329</v>
      </c>
      <c r="Z41" s="16" t="n">
        <v>545286</v>
      </c>
      <c r="AA41" s="7"/>
      <c r="AB41" s="7"/>
      <c r="AC41" s="16" t="n">
        <v>10751221</v>
      </c>
      <c r="AD41" s="16" t="n">
        <v>5509307</v>
      </c>
      <c r="AE41" s="16" t="n">
        <v>2916528</v>
      </c>
      <c r="AF41" s="16" t="n">
        <v>1641378</v>
      </c>
      <c r="AG41" s="16" t="n">
        <v>1339619</v>
      </c>
      <c r="AH41" s="16" t="n">
        <v>1390699</v>
      </c>
      <c r="AI41" s="8"/>
    </row>
    <row r="42" customFormat="false" ht="16.4" hidden="false" customHeight="false" outlineLevel="0" collapsed="false">
      <c r="B42" s="9"/>
      <c r="C42" s="14"/>
      <c r="D42" s="15" t="s">
        <v>12</v>
      </c>
      <c r="E42" s="16" t="n">
        <v>159638</v>
      </c>
      <c r="F42" s="16" t="n">
        <v>82126</v>
      </c>
      <c r="G42" s="16" t="n">
        <v>43144</v>
      </c>
      <c r="H42" s="16" t="n">
        <v>23932</v>
      </c>
      <c r="I42" s="16" t="n">
        <v>20541</v>
      </c>
      <c r="J42" s="16" t="n">
        <v>25777</v>
      </c>
      <c r="K42" s="7"/>
      <c r="L42" s="7"/>
      <c r="M42" s="16" t="n">
        <v>1302253</v>
      </c>
      <c r="N42" s="16" t="n">
        <v>662426</v>
      </c>
      <c r="O42" s="16" t="n">
        <v>347267</v>
      </c>
      <c r="P42" s="16" t="n">
        <v>193812</v>
      </c>
      <c r="Q42" s="16" t="n">
        <v>146331</v>
      </c>
      <c r="R42" s="16" t="n">
        <v>168511</v>
      </c>
      <c r="S42" s="7"/>
      <c r="T42" s="7"/>
      <c r="U42" s="16" t="n">
        <v>4436146</v>
      </c>
      <c r="V42" s="16" t="n">
        <v>2300651</v>
      </c>
      <c r="W42" s="16" t="n">
        <v>1220712</v>
      </c>
      <c r="X42" s="16" t="n">
        <v>689120</v>
      </c>
      <c r="Y42" s="16" t="n">
        <v>566363</v>
      </c>
      <c r="Z42" s="16" t="n">
        <v>542053</v>
      </c>
      <c r="AA42" s="7"/>
      <c r="AB42" s="7"/>
      <c r="AC42" s="16" t="n">
        <v>10680852</v>
      </c>
      <c r="AD42" s="16" t="n">
        <v>5522425</v>
      </c>
      <c r="AE42" s="16" t="n">
        <v>2938264</v>
      </c>
      <c r="AF42" s="16" t="n">
        <v>1640880</v>
      </c>
      <c r="AG42" s="16" t="n">
        <v>1263425</v>
      </c>
      <c r="AH42" s="16" t="n">
        <v>1404945</v>
      </c>
      <c r="AI42" s="8"/>
    </row>
    <row r="43" customFormat="false" ht="16.4" hidden="false" customHeight="false" outlineLevel="0" collapsed="false">
      <c r="B43" s="9"/>
      <c r="C43" s="14"/>
      <c r="D43" s="15" t="s">
        <v>13</v>
      </c>
      <c r="E43" s="16" t="n">
        <v>158037</v>
      </c>
      <c r="F43" s="16" t="n">
        <v>81655</v>
      </c>
      <c r="G43" s="16" t="n">
        <v>43229</v>
      </c>
      <c r="H43" s="16" t="n">
        <v>26381</v>
      </c>
      <c r="I43" s="16" t="n">
        <v>19786</v>
      </c>
      <c r="J43" s="16" t="n">
        <v>25593</v>
      </c>
      <c r="K43" s="7"/>
      <c r="L43" s="7"/>
      <c r="M43" s="16" t="n">
        <v>1289316</v>
      </c>
      <c r="N43" s="16" t="n">
        <v>663703</v>
      </c>
      <c r="O43" s="16" t="n">
        <v>347482</v>
      </c>
      <c r="P43" s="16" t="n">
        <v>194454</v>
      </c>
      <c r="Q43" s="16" t="n">
        <v>147057</v>
      </c>
      <c r="R43" s="16" t="n">
        <v>165518</v>
      </c>
      <c r="S43" s="7"/>
      <c r="T43" s="7"/>
      <c r="U43" s="16" t="n">
        <v>4520739</v>
      </c>
      <c r="V43" s="16" t="n">
        <v>2305197</v>
      </c>
      <c r="W43" s="16" t="n">
        <v>1221819</v>
      </c>
      <c r="X43" s="16" t="n">
        <v>693292</v>
      </c>
      <c r="Y43" s="16" t="n">
        <v>553829</v>
      </c>
      <c r="Z43" s="16" t="n">
        <v>515712</v>
      </c>
      <c r="AA43" s="7"/>
      <c r="AB43" s="7"/>
      <c r="AC43" s="16" t="n">
        <v>10648813</v>
      </c>
      <c r="AD43" s="16" t="n">
        <v>5627227</v>
      </c>
      <c r="AE43" s="16" t="n">
        <v>2948815</v>
      </c>
      <c r="AF43" s="16" t="n">
        <v>1657796</v>
      </c>
      <c r="AG43" s="16" t="n">
        <v>1278375</v>
      </c>
      <c r="AH43" s="16" t="n">
        <v>1425974</v>
      </c>
      <c r="AI43" s="8"/>
    </row>
    <row r="44" customFormat="false" ht="16.4" hidden="false" customHeight="false" outlineLevel="0" collapsed="false">
      <c r="B44" s="9"/>
      <c r="C44" s="14"/>
      <c r="D44" s="15" t="s">
        <v>14</v>
      </c>
      <c r="E44" s="16" t="n">
        <v>155910</v>
      </c>
      <c r="F44" s="16" t="n">
        <v>81728</v>
      </c>
      <c r="G44" s="16" t="n">
        <v>42969</v>
      </c>
      <c r="H44" s="16" t="n">
        <v>24978</v>
      </c>
      <c r="I44" s="16" t="n">
        <v>21222</v>
      </c>
      <c r="J44" s="16" t="n">
        <v>28717</v>
      </c>
      <c r="K44" s="7"/>
      <c r="L44" s="7"/>
      <c r="M44" s="16" t="n">
        <v>1295728</v>
      </c>
      <c r="N44" s="16" t="n">
        <v>663339</v>
      </c>
      <c r="O44" s="16" t="n">
        <v>348457</v>
      </c>
      <c r="P44" s="16" t="n">
        <v>195123</v>
      </c>
      <c r="Q44" s="16" t="n">
        <v>162199</v>
      </c>
      <c r="R44" s="16" t="n">
        <v>168524</v>
      </c>
      <c r="S44" s="7"/>
      <c r="T44" s="7"/>
      <c r="U44" s="16" t="n">
        <v>4417081</v>
      </c>
      <c r="V44" s="16" t="n">
        <v>2324781</v>
      </c>
      <c r="W44" s="16" t="n">
        <v>1224228</v>
      </c>
      <c r="X44" s="16" t="n">
        <v>694942</v>
      </c>
      <c r="Y44" s="16" t="n">
        <v>499627</v>
      </c>
      <c r="Z44" s="16" t="n">
        <v>541700</v>
      </c>
      <c r="AA44" s="7"/>
      <c r="AB44" s="7"/>
      <c r="AC44" s="16" t="n">
        <v>10594115</v>
      </c>
      <c r="AD44" s="16" t="n">
        <v>5533175</v>
      </c>
      <c r="AE44" s="16" t="n">
        <v>2956823</v>
      </c>
      <c r="AF44" s="16" t="n">
        <v>1662159</v>
      </c>
      <c r="AG44" s="16" t="n">
        <v>1300479</v>
      </c>
      <c r="AH44" s="16" t="n">
        <v>1459868</v>
      </c>
      <c r="AI44" s="8"/>
    </row>
    <row r="45" customFormat="false" ht="16.4" hidden="false" customHeight="false" outlineLevel="0" collapsed="false">
      <c r="B45" s="9"/>
      <c r="C45" s="14"/>
      <c r="D45" s="15" t="s">
        <v>15</v>
      </c>
      <c r="E45" s="16" t="n">
        <v>157986</v>
      </c>
      <c r="F45" s="16" t="n">
        <v>82341</v>
      </c>
      <c r="G45" s="16" t="n">
        <v>43200</v>
      </c>
      <c r="H45" s="16" t="n">
        <v>23927</v>
      </c>
      <c r="I45" s="16" t="n">
        <v>20045</v>
      </c>
      <c r="J45" s="16" t="n">
        <v>28755</v>
      </c>
      <c r="K45" s="7"/>
      <c r="L45" s="7"/>
      <c r="M45" s="16" t="n">
        <v>1308773</v>
      </c>
      <c r="N45" s="16" t="n">
        <v>662791</v>
      </c>
      <c r="O45" s="16" t="n">
        <v>359521</v>
      </c>
      <c r="P45" s="16" t="n">
        <v>195859</v>
      </c>
      <c r="Q45" s="16" t="n">
        <v>159555</v>
      </c>
      <c r="R45" s="16" t="n">
        <v>165175</v>
      </c>
      <c r="S45" s="7"/>
      <c r="T45" s="7"/>
      <c r="U45" s="16" t="n">
        <v>4439618</v>
      </c>
      <c r="V45" s="16" t="n">
        <v>2301050</v>
      </c>
      <c r="W45" s="16" t="n">
        <v>1222154</v>
      </c>
      <c r="X45" s="16" t="n">
        <v>695529</v>
      </c>
      <c r="Y45" s="16" t="n">
        <v>550757</v>
      </c>
      <c r="Z45" s="16" t="n">
        <v>529787</v>
      </c>
      <c r="AA45" s="7"/>
      <c r="AB45" s="7"/>
      <c r="AC45" s="16" t="n">
        <v>10507004</v>
      </c>
      <c r="AD45" s="16" t="n">
        <v>5546795</v>
      </c>
      <c r="AE45" s="16" t="n">
        <v>2965775</v>
      </c>
      <c r="AF45" s="16" t="n">
        <v>1668416</v>
      </c>
      <c r="AG45" s="16" t="n">
        <v>1216725</v>
      </c>
      <c r="AH45" s="16" t="n">
        <v>1391754</v>
      </c>
      <c r="AI45" s="8"/>
    </row>
    <row r="46" customFormat="false" ht="16.4" hidden="false" customHeight="false" outlineLevel="0" collapsed="false">
      <c r="B46" s="9"/>
      <c r="C46" s="14"/>
      <c r="D46" s="15" t="s">
        <v>16</v>
      </c>
      <c r="E46" s="16" t="n">
        <v>157209</v>
      </c>
      <c r="F46" s="16" t="n">
        <v>81733</v>
      </c>
      <c r="G46" s="16" t="n">
        <v>43643</v>
      </c>
      <c r="H46" s="16" t="n">
        <v>25257</v>
      </c>
      <c r="I46" s="16" t="n">
        <v>20343</v>
      </c>
      <c r="J46" s="16" t="n">
        <v>28231</v>
      </c>
      <c r="K46" s="7"/>
      <c r="L46" s="7"/>
      <c r="M46" s="16" t="n">
        <v>1274626</v>
      </c>
      <c r="N46" s="16" t="n">
        <v>663064</v>
      </c>
      <c r="O46" s="16" t="n">
        <v>347477</v>
      </c>
      <c r="P46" s="16" t="n">
        <v>197050</v>
      </c>
      <c r="Q46" s="16" t="n">
        <v>164411</v>
      </c>
      <c r="R46" s="16" t="n">
        <v>167713</v>
      </c>
      <c r="S46" s="7"/>
      <c r="T46" s="7"/>
      <c r="U46" s="16" t="n">
        <v>4401594</v>
      </c>
      <c r="V46" s="16" t="n">
        <v>2318913</v>
      </c>
      <c r="W46" s="16" t="n">
        <v>1226460</v>
      </c>
      <c r="X46" s="16" t="n">
        <v>694625</v>
      </c>
      <c r="Y46" s="16" t="n">
        <v>534744</v>
      </c>
      <c r="Z46" s="16" t="n">
        <v>542049</v>
      </c>
      <c r="AA46" s="7"/>
      <c r="AB46" s="7"/>
      <c r="AC46" s="16" t="n">
        <v>10535587</v>
      </c>
      <c r="AD46" s="16" t="n">
        <v>5516797</v>
      </c>
      <c r="AE46" s="16" t="n">
        <v>2966030</v>
      </c>
      <c r="AF46" s="16" t="n">
        <v>1669464</v>
      </c>
      <c r="AG46" s="16" t="n">
        <v>1275434</v>
      </c>
      <c r="AH46" s="16" t="n">
        <v>1423847</v>
      </c>
      <c r="AI46" s="8"/>
    </row>
    <row r="47" customFormat="false" ht="16.4" hidden="false" customHeight="false" outlineLevel="0" collapsed="false">
      <c r="B47" s="9"/>
      <c r="C47" s="14"/>
      <c r="D47" s="15" t="s">
        <v>17</v>
      </c>
      <c r="E47" s="16" t="n">
        <v>159107</v>
      </c>
      <c r="F47" s="16" t="n">
        <v>81693</v>
      </c>
      <c r="G47" s="16" t="n">
        <v>43328</v>
      </c>
      <c r="H47" s="16" t="n">
        <v>24639</v>
      </c>
      <c r="I47" s="16" t="n">
        <v>20796</v>
      </c>
      <c r="J47" s="16" t="n">
        <v>25479</v>
      </c>
      <c r="K47" s="7"/>
      <c r="L47" s="7"/>
      <c r="M47" s="16" t="n">
        <v>1292376</v>
      </c>
      <c r="N47" s="16" t="n">
        <v>668415</v>
      </c>
      <c r="O47" s="16" t="n">
        <v>348751</v>
      </c>
      <c r="P47" s="16" t="n">
        <v>197935</v>
      </c>
      <c r="Q47" s="16" t="n">
        <v>151722</v>
      </c>
      <c r="R47" s="16" t="n">
        <v>163141</v>
      </c>
      <c r="S47" s="7"/>
      <c r="T47" s="7"/>
      <c r="U47" s="16" t="n">
        <v>4406552</v>
      </c>
      <c r="V47" s="16" t="n">
        <v>2306629</v>
      </c>
      <c r="W47" s="16" t="n">
        <v>1230285</v>
      </c>
      <c r="X47" s="16" t="n">
        <v>700149</v>
      </c>
      <c r="Y47" s="16" t="n">
        <v>549145</v>
      </c>
      <c r="Z47" s="16" t="n">
        <v>520333</v>
      </c>
      <c r="AA47" s="7"/>
      <c r="AB47" s="7"/>
      <c r="AC47" s="16" t="n">
        <v>10510610</v>
      </c>
      <c r="AD47" s="16" t="n">
        <v>5522084</v>
      </c>
      <c r="AE47" s="16" t="n">
        <v>2975334</v>
      </c>
      <c r="AF47" s="16" t="n">
        <v>1673328</v>
      </c>
      <c r="AG47" s="16" t="n">
        <v>1275018</v>
      </c>
      <c r="AH47" s="16" t="n">
        <v>1421595</v>
      </c>
      <c r="AI47" s="8"/>
    </row>
    <row r="48" customFormat="false" ht="16.4" hidden="false" customHeight="false" outlineLevel="0" collapsed="false">
      <c r="B48" s="9"/>
      <c r="C48" s="14"/>
      <c r="D48" s="15" t="s">
        <v>18</v>
      </c>
      <c r="E48" s="16" t="n">
        <v>158835</v>
      </c>
      <c r="F48" s="16" t="n">
        <v>81973</v>
      </c>
      <c r="G48" s="16" t="n">
        <v>43161</v>
      </c>
      <c r="H48" s="16" t="n">
        <v>24733</v>
      </c>
      <c r="I48" s="16" t="n">
        <v>20501</v>
      </c>
      <c r="J48" s="16" t="n">
        <v>28010</v>
      </c>
      <c r="K48" s="7"/>
      <c r="L48" s="7"/>
      <c r="M48" s="16" t="n">
        <v>1287207</v>
      </c>
      <c r="N48" s="16" t="n">
        <v>663877</v>
      </c>
      <c r="O48" s="16" t="n">
        <v>349961</v>
      </c>
      <c r="P48" s="16" t="n">
        <v>197180</v>
      </c>
      <c r="Q48" s="16" t="n">
        <v>163200</v>
      </c>
      <c r="R48" s="16" t="n">
        <v>155510</v>
      </c>
      <c r="S48" s="7"/>
      <c r="T48" s="7"/>
      <c r="U48" s="16" t="n">
        <v>4431301</v>
      </c>
      <c r="V48" s="16" t="n">
        <v>2295348</v>
      </c>
      <c r="W48" s="16" t="n">
        <v>1228116</v>
      </c>
      <c r="X48" s="16" t="n">
        <v>700219</v>
      </c>
      <c r="Y48" s="16" t="n">
        <v>569873</v>
      </c>
      <c r="Z48" s="16" t="n">
        <v>515558</v>
      </c>
      <c r="AA48" s="7"/>
      <c r="AB48" s="7"/>
      <c r="AC48" s="16" t="n">
        <v>10485898</v>
      </c>
      <c r="AD48" s="16" t="n">
        <v>5525460</v>
      </c>
      <c r="AE48" s="16" t="n">
        <v>2994474</v>
      </c>
      <c r="AF48" s="16" t="n">
        <v>1680369</v>
      </c>
      <c r="AG48" s="16" t="n">
        <v>1301295</v>
      </c>
      <c r="AH48" s="16" t="n">
        <v>1432468</v>
      </c>
      <c r="AI48" s="8"/>
    </row>
    <row r="49" customFormat="false" ht="16.4" hidden="false" customHeight="false" outlineLevel="0" collapsed="false">
      <c r="B49" s="9"/>
      <c r="C49" s="14"/>
      <c r="D49" s="15" t="s">
        <v>19</v>
      </c>
      <c r="E49" s="16" t="n">
        <v>156806</v>
      </c>
      <c r="F49" s="16" t="n">
        <v>81726</v>
      </c>
      <c r="G49" s="16" t="n">
        <v>44661</v>
      </c>
      <c r="H49" s="16" t="n">
        <v>24455</v>
      </c>
      <c r="I49" s="16" t="n">
        <v>20622</v>
      </c>
      <c r="J49" s="16" t="n">
        <v>25532</v>
      </c>
      <c r="K49" s="7"/>
      <c r="L49" s="7"/>
      <c r="M49" s="16" t="n">
        <v>1285062</v>
      </c>
      <c r="N49" s="16" t="n">
        <v>664653</v>
      </c>
      <c r="O49" s="16" t="n">
        <v>349367</v>
      </c>
      <c r="P49" s="16" t="n">
        <v>196546</v>
      </c>
      <c r="Q49" s="16" t="n">
        <v>160966</v>
      </c>
      <c r="R49" s="16" t="n">
        <v>156661</v>
      </c>
      <c r="S49" s="7"/>
      <c r="T49" s="7"/>
      <c r="U49" s="16" t="n">
        <v>4455494</v>
      </c>
      <c r="V49" s="16" t="n">
        <v>2308736</v>
      </c>
      <c r="W49" s="16" t="n">
        <v>1230145</v>
      </c>
      <c r="X49" s="16" t="n">
        <v>701831</v>
      </c>
      <c r="Y49" s="16" t="n">
        <v>542138</v>
      </c>
      <c r="Z49" s="16" t="n">
        <v>515486</v>
      </c>
      <c r="AA49" s="7"/>
      <c r="AB49" s="7"/>
      <c r="AC49" s="16" t="n">
        <v>10458913</v>
      </c>
      <c r="AD49" s="16" t="n">
        <v>5523002</v>
      </c>
      <c r="AE49" s="16" t="n">
        <v>2970826</v>
      </c>
      <c r="AF49" s="16" t="n">
        <v>1683377</v>
      </c>
      <c r="AG49" s="16" t="n">
        <v>1212334</v>
      </c>
      <c r="AH49" s="16" t="n">
        <v>1408562</v>
      </c>
      <c r="AI49" s="8"/>
    </row>
    <row r="50" customFormat="false" ht="16.4" hidden="false" customHeight="false" outlineLevel="0" collapsed="false">
      <c r="B50" s="9"/>
      <c r="C50" s="14"/>
      <c r="D50" s="15" t="s">
        <v>20</v>
      </c>
      <c r="E50" s="16" t="n">
        <v>157316</v>
      </c>
      <c r="F50" s="16" t="n">
        <v>82112</v>
      </c>
      <c r="G50" s="16" t="n">
        <v>43336</v>
      </c>
      <c r="H50" s="16" t="n">
        <v>26801</v>
      </c>
      <c r="I50" s="16" t="n">
        <v>20778</v>
      </c>
      <c r="J50" s="16" t="n">
        <v>29475</v>
      </c>
      <c r="K50" s="7"/>
      <c r="L50" s="7"/>
      <c r="M50" s="16" t="n">
        <v>1276079</v>
      </c>
      <c r="N50" s="16" t="n">
        <v>664882</v>
      </c>
      <c r="O50" s="16" t="n">
        <v>347891</v>
      </c>
      <c r="P50" s="16" t="n">
        <v>195711</v>
      </c>
      <c r="Q50" s="16" t="n">
        <v>144956</v>
      </c>
      <c r="R50" s="16" t="n">
        <v>155458</v>
      </c>
      <c r="S50" s="7"/>
      <c r="T50" s="7"/>
      <c r="U50" s="16" t="n">
        <v>4403511</v>
      </c>
      <c r="V50" s="16" t="n">
        <v>2303682</v>
      </c>
      <c r="W50" s="16" t="n">
        <v>1233515</v>
      </c>
      <c r="X50" s="16" t="n">
        <v>699988</v>
      </c>
      <c r="Y50" s="16" t="n">
        <v>540996</v>
      </c>
      <c r="Z50" s="16" t="n">
        <v>513431</v>
      </c>
      <c r="AA50" s="7"/>
      <c r="AB50" s="7"/>
      <c r="AC50" s="16" t="n">
        <v>10490853</v>
      </c>
      <c r="AD50" s="16" t="n">
        <v>5552293</v>
      </c>
      <c r="AE50" s="16" t="n">
        <v>2985615</v>
      </c>
      <c r="AF50" s="16" t="n">
        <v>1694796</v>
      </c>
      <c r="AG50" s="16" t="n">
        <v>1309707</v>
      </c>
      <c r="AH50" s="16" t="n">
        <v>1403944</v>
      </c>
      <c r="AI50" s="8"/>
    </row>
    <row r="51" customFormat="false" ht="16.4" hidden="false" customHeight="false" outlineLevel="0" collapsed="false">
      <c r="B51" s="9"/>
      <c r="C51" s="14"/>
      <c r="D51" s="15" t="s">
        <v>21</v>
      </c>
      <c r="E51" s="16" t="n">
        <v>158837</v>
      </c>
      <c r="F51" s="16" t="n">
        <v>81967</v>
      </c>
      <c r="G51" s="16" t="n">
        <v>44833</v>
      </c>
      <c r="H51" s="16" t="n">
        <v>24689</v>
      </c>
      <c r="I51" s="16" t="n">
        <v>19260</v>
      </c>
      <c r="J51" s="16" t="n">
        <v>25897</v>
      </c>
      <c r="K51" s="7"/>
      <c r="L51" s="7"/>
      <c r="M51" s="16" t="n">
        <v>1286504</v>
      </c>
      <c r="N51" s="16" t="n">
        <v>660131</v>
      </c>
      <c r="O51" s="16" t="n">
        <v>349393</v>
      </c>
      <c r="P51" s="16" t="n">
        <v>196987</v>
      </c>
      <c r="Q51" s="16" t="n">
        <v>165701</v>
      </c>
      <c r="R51" s="16" t="n">
        <v>175821</v>
      </c>
      <c r="S51" s="7"/>
      <c r="T51" s="7"/>
      <c r="U51" s="16" t="n">
        <v>4481406</v>
      </c>
      <c r="V51" s="16" t="n">
        <v>2368590</v>
      </c>
      <c r="W51" s="16" t="n">
        <v>1226491</v>
      </c>
      <c r="X51" s="16" t="n">
        <v>695963</v>
      </c>
      <c r="Y51" s="16" t="n">
        <v>559026</v>
      </c>
      <c r="Z51" s="16" t="n">
        <v>520578</v>
      </c>
      <c r="AA51" s="7"/>
      <c r="AB51" s="7"/>
      <c r="AC51" s="16" t="n">
        <v>10420163</v>
      </c>
      <c r="AD51" s="16" t="n">
        <v>5527596</v>
      </c>
      <c r="AE51" s="16" t="n">
        <v>2968637</v>
      </c>
      <c r="AF51" s="16" t="n">
        <v>1684800</v>
      </c>
      <c r="AG51" s="16" t="n">
        <v>1281757</v>
      </c>
      <c r="AH51" s="16" t="n">
        <v>1398426</v>
      </c>
      <c r="AI51" s="8"/>
    </row>
    <row r="52" customFormat="false" ht="16.4" hidden="false" customHeight="false" outlineLevel="0" collapsed="false">
      <c r="B52" s="9"/>
      <c r="C52" s="14"/>
      <c r="D52" s="15" t="s">
        <v>22</v>
      </c>
      <c r="E52" s="16" t="n">
        <v>158111</v>
      </c>
      <c r="F52" s="16" t="n">
        <v>82115</v>
      </c>
      <c r="G52" s="16" t="n">
        <v>43169</v>
      </c>
      <c r="H52" s="16" t="n">
        <v>24371</v>
      </c>
      <c r="I52" s="16" t="n">
        <v>20838</v>
      </c>
      <c r="J52" s="16" t="n">
        <v>26523</v>
      </c>
      <c r="K52" s="7"/>
      <c r="L52" s="7"/>
      <c r="M52" s="16" t="n">
        <v>1285054</v>
      </c>
      <c r="N52" s="16" t="n">
        <v>662602</v>
      </c>
      <c r="O52" s="16" t="n">
        <v>347227</v>
      </c>
      <c r="P52" s="16" t="n">
        <v>196517</v>
      </c>
      <c r="Q52" s="16" t="n">
        <v>162606</v>
      </c>
      <c r="R52" s="16" t="n">
        <v>165152</v>
      </c>
      <c r="S52" s="7"/>
      <c r="T52" s="7"/>
      <c r="U52" s="16" t="n">
        <v>4447720</v>
      </c>
      <c r="V52" s="16" t="n">
        <v>2304520</v>
      </c>
      <c r="W52" s="16" t="n">
        <v>1254215</v>
      </c>
      <c r="X52" s="16" t="n">
        <v>700615</v>
      </c>
      <c r="Y52" s="16" t="n">
        <v>541677</v>
      </c>
      <c r="Z52" s="16" t="n">
        <v>548569</v>
      </c>
      <c r="AA52" s="7"/>
      <c r="AB52" s="7"/>
      <c r="AC52" s="16" t="n">
        <v>10461942</v>
      </c>
      <c r="AD52" s="16" t="n">
        <v>5548986</v>
      </c>
      <c r="AE52" s="16" t="n">
        <v>2979728</v>
      </c>
      <c r="AF52" s="16" t="n">
        <v>1690895</v>
      </c>
      <c r="AG52" s="16" t="n">
        <v>1270634</v>
      </c>
      <c r="AH52" s="16" t="n">
        <v>1563516</v>
      </c>
      <c r="AI52" s="8"/>
    </row>
    <row r="53" customFormat="false" ht="16.4" hidden="false" customHeight="false" outlineLevel="0" collapsed="false">
      <c r="B53" s="9"/>
      <c r="C53" s="14"/>
      <c r="D53" s="15" t="s">
        <v>23</v>
      </c>
      <c r="E53" s="16" t="n">
        <v>159062</v>
      </c>
      <c r="F53" s="16" t="n">
        <v>81244</v>
      </c>
      <c r="G53" s="16" t="n">
        <v>44308</v>
      </c>
      <c r="H53" s="16" t="n">
        <v>26435</v>
      </c>
      <c r="I53" s="16" t="n">
        <v>19933</v>
      </c>
      <c r="J53" s="16" t="n">
        <v>23783</v>
      </c>
      <c r="K53" s="7"/>
      <c r="L53" s="7"/>
      <c r="M53" s="16" t="n">
        <v>1286281</v>
      </c>
      <c r="N53" s="16" t="n">
        <v>664058</v>
      </c>
      <c r="O53" s="16" t="n">
        <v>348263</v>
      </c>
      <c r="P53" s="16" t="n">
        <v>197014</v>
      </c>
      <c r="Q53" s="16" t="n">
        <v>158899</v>
      </c>
      <c r="R53" s="16" t="n">
        <v>159307</v>
      </c>
      <c r="S53" s="7"/>
      <c r="T53" s="7"/>
      <c r="U53" s="16" t="n">
        <v>4434784</v>
      </c>
      <c r="V53" s="16" t="n">
        <v>2316698</v>
      </c>
      <c r="W53" s="16" t="n">
        <v>1233479</v>
      </c>
      <c r="X53" s="16" t="n">
        <v>702401</v>
      </c>
      <c r="Y53" s="16" t="n">
        <v>543780</v>
      </c>
      <c r="Z53" s="16" t="n">
        <v>540351</v>
      </c>
      <c r="AA53" s="7"/>
      <c r="AB53" s="7"/>
      <c r="AC53" s="16" t="n">
        <v>10434929</v>
      </c>
      <c r="AD53" s="16" t="n">
        <v>5532980</v>
      </c>
      <c r="AE53" s="16" t="n">
        <v>2980513</v>
      </c>
      <c r="AF53" s="16" t="n">
        <v>1692479</v>
      </c>
      <c r="AG53" s="16" t="n">
        <v>1280696</v>
      </c>
      <c r="AH53" s="16" t="n">
        <v>1404274</v>
      </c>
      <c r="AI53" s="8"/>
    </row>
    <row r="54" customFormat="false" ht="16.4" hidden="false" customHeight="false" outlineLevel="0" collapsed="false">
      <c r="B54" s="9"/>
      <c r="C54" s="14"/>
      <c r="D54" s="15" t="s">
        <v>24</v>
      </c>
      <c r="E54" s="16" t="n">
        <v>159630</v>
      </c>
      <c r="F54" s="16" t="n">
        <v>81832</v>
      </c>
      <c r="G54" s="16" t="n">
        <v>43468</v>
      </c>
      <c r="H54" s="16" t="n">
        <v>24515</v>
      </c>
      <c r="I54" s="16" t="n">
        <v>20168</v>
      </c>
      <c r="J54" s="16" t="n">
        <v>27070</v>
      </c>
      <c r="K54" s="7"/>
      <c r="L54" s="7"/>
      <c r="M54" s="16" t="n">
        <v>1280501</v>
      </c>
      <c r="N54" s="16" t="n">
        <v>664814</v>
      </c>
      <c r="O54" s="16" t="n">
        <v>350177</v>
      </c>
      <c r="P54" s="16" t="n">
        <v>197089</v>
      </c>
      <c r="Q54" s="16" t="n">
        <v>146376</v>
      </c>
      <c r="R54" s="16" t="n">
        <v>166585</v>
      </c>
      <c r="S54" s="7"/>
      <c r="T54" s="7"/>
      <c r="U54" s="16" t="n">
        <v>4424854</v>
      </c>
      <c r="V54" s="16" t="n">
        <v>2304237</v>
      </c>
      <c r="W54" s="16" t="n">
        <v>1229950</v>
      </c>
      <c r="X54" s="16" t="n">
        <v>701461</v>
      </c>
      <c r="Y54" s="16" t="n">
        <v>552344</v>
      </c>
      <c r="Z54" s="16" t="n">
        <v>534712</v>
      </c>
      <c r="AA54" s="7"/>
      <c r="AB54" s="7"/>
      <c r="AC54" s="16" t="n">
        <v>10424396</v>
      </c>
      <c r="AD54" s="16" t="n">
        <v>5528719</v>
      </c>
      <c r="AE54" s="16" t="n">
        <v>2974929</v>
      </c>
      <c r="AF54" s="16" t="n">
        <v>1687804</v>
      </c>
      <c r="AG54" s="16" t="n">
        <v>1300000</v>
      </c>
      <c r="AH54" s="16" t="n">
        <v>1432046</v>
      </c>
      <c r="AI54" s="8"/>
    </row>
    <row r="55" customFormat="false" ht="16.4" hidden="false" customHeight="false" outlineLevel="0" collapsed="false">
      <c r="B55" s="9"/>
      <c r="C55" s="14"/>
      <c r="D55" s="15" t="s">
        <v>25</v>
      </c>
      <c r="E55" s="16" t="n">
        <v>158153</v>
      </c>
      <c r="F55" s="16" t="n">
        <v>81670</v>
      </c>
      <c r="G55" s="16" t="n">
        <v>43267</v>
      </c>
      <c r="H55" s="16" t="n">
        <v>24215</v>
      </c>
      <c r="I55" s="16" t="n">
        <v>20815</v>
      </c>
      <c r="J55" s="16" t="n">
        <v>28418</v>
      </c>
      <c r="K55" s="7"/>
      <c r="L55" s="7"/>
      <c r="M55" s="16" t="n">
        <v>1283170</v>
      </c>
      <c r="N55" s="16" t="n">
        <v>662775</v>
      </c>
      <c r="O55" s="16" t="n">
        <v>348151</v>
      </c>
      <c r="P55" s="16" t="n">
        <v>198019</v>
      </c>
      <c r="Q55" s="16" t="n">
        <v>167607</v>
      </c>
      <c r="R55" s="16" t="n">
        <v>149507</v>
      </c>
      <c r="S55" s="7"/>
      <c r="T55" s="7"/>
      <c r="U55" s="16" t="n">
        <v>4459636</v>
      </c>
      <c r="V55" s="16" t="n">
        <v>2306206</v>
      </c>
      <c r="W55" s="16" t="n">
        <v>1234666</v>
      </c>
      <c r="X55" s="16" t="n">
        <v>707751</v>
      </c>
      <c r="Y55" s="16" t="n">
        <v>564737</v>
      </c>
      <c r="Z55" s="16" t="n">
        <v>537041</v>
      </c>
      <c r="AA55" s="7"/>
      <c r="AB55" s="7"/>
      <c r="AC55" s="16" t="n">
        <v>10570944</v>
      </c>
      <c r="AD55" s="16" t="n">
        <v>5556429</v>
      </c>
      <c r="AE55" s="16" t="n">
        <v>2973311</v>
      </c>
      <c r="AF55" s="16" t="n">
        <v>1681025</v>
      </c>
      <c r="AG55" s="16" t="n">
        <v>1320273</v>
      </c>
      <c r="AH55" s="16" t="n">
        <v>1422648</v>
      </c>
      <c r="AI55" s="8"/>
    </row>
    <row r="56" customFormat="false" ht="16.4" hidden="false" customHeight="false" outlineLevel="0" collapsed="false">
      <c r="B56" s="9"/>
      <c r="C56" s="14"/>
      <c r="D56" s="15" t="s">
        <v>26</v>
      </c>
      <c r="E56" s="16" t="n">
        <v>158721</v>
      </c>
      <c r="F56" s="16" t="n">
        <v>81809</v>
      </c>
      <c r="G56" s="16" t="n">
        <v>43366</v>
      </c>
      <c r="H56" s="16" t="n">
        <v>24429</v>
      </c>
      <c r="I56" s="16" t="n">
        <v>20177</v>
      </c>
      <c r="J56" s="16" t="n">
        <v>27135</v>
      </c>
      <c r="K56" s="7"/>
      <c r="L56" s="7"/>
      <c r="M56" s="16" t="n">
        <v>1283740</v>
      </c>
      <c r="N56" s="16" t="n">
        <v>663437</v>
      </c>
      <c r="O56" s="16" t="n">
        <v>351313</v>
      </c>
      <c r="P56" s="16" t="n">
        <v>197807</v>
      </c>
      <c r="Q56" s="16" t="n">
        <v>166364</v>
      </c>
      <c r="R56" s="16" t="n">
        <v>168080</v>
      </c>
      <c r="S56" s="7"/>
      <c r="T56" s="7"/>
      <c r="U56" s="16" t="n">
        <v>4449939</v>
      </c>
      <c r="V56" s="16" t="n">
        <v>2306621</v>
      </c>
      <c r="W56" s="16" t="n">
        <v>1232959</v>
      </c>
      <c r="X56" s="16" t="n">
        <v>703624</v>
      </c>
      <c r="Y56" s="16" t="n">
        <v>562351</v>
      </c>
      <c r="Z56" s="16" t="n">
        <v>528561</v>
      </c>
      <c r="AA56" s="7"/>
      <c r="AB56" s="7"/>
      <c r="AC56" s="16" t="n">
        <v>10627904</v>
      </c>
      <c r="AD56" s="16" t="n">
        <v>5536559</v>
      </c>
      <c r="AE56" s="16" t="n">
        <v>2967570</v>
      </c>
      <c r="AF56" s="16" t="n">
        <v>1690804</v>
      </c>
      <c r="AG56" s="16" t="n">
        <v>1285678</v>
      </c>
      <c r="AH56" s="16" t="n">
        <v>1434815</v>
      </c>
      <c r="AI56" s="8"/>
    </row>
    <row r="57" customFormat="false" ht="16.4" hidden="false" customHeight="false" outlineLevel="0" collapsed="false">
      <c r="B57" s="9"/>
      <c r="C57" s="14"/>
      <c r="D57" s="15" t="s">
        <v>27</v>
      </c>
      <c r="E57" s="16" t="n">
        <v>158800</v>
      </c>
      <c r="F57" s="16" t="n">
        <v>81532</v>
      </c>
      <c r="G57" s="16" t="n">
        <v>43059</v>
      </c>
      <c r="H57" s="16" t="n">
        <v>24503</v>
      </c>
      <c r="I57" s="16" t="n">
        <v>19697</v>
      </c>
      <c r="J57" s="16" t="n">
        <v>29456</v>
      </c>
      <c r="K57" s="7"/>
      <c r="L57" s="7"/>
      <c r="M57" s="16" t="n">
        <v>1281154</v>
      </c>
      <c r="N57" s="16" t="n">
        <v>661512</v>
      </c>
      <c r="O57" s="16" t="n">
        <v>349308</v>
      </c>
      <c r="P57" s="16" t="n">
        <v>196731</v>
      </c>
      <c r="Q57" s="16" t="n">
        <v>145641</v>
      </c>
      <c r="R57" s="16" t="n">
        <v>155900</v>
      </c>
      <c r="S57" s="7"/>
      <c r="T57" s="7"/>
      <c r="U57" s="16" t="n">
        <v>4407263</v>
      </c>
      <c r="V57" s="16" t="n">
        <v>2308067</v>
      </c>
      <c r="W57" s="16" t="n">
        <v>1234087</v>
      </c>
      <c r="X57" s="16" t="n">
        <v>700990</v>
      </c>
      <c r="Y57" s="16" t="n">
        <v>555064</v>
      </c>
      <c r="Z57" s="16" t="n">
        <v>499659</v>
      </c>
      <c r="AA57" s="7"/>
      <c r="AB57" s="7"/>
      <c r="AC57" s="16" t="n">
        <v>10621507</v>
      </c>
      <c r="AD57" s="16" t="n">
        <v>5558178</v>
      </c>
      <c r="AE57" s="16" t="n">
        <v>2969149</v>
      </c>
      <c r="AF57" s="16" t="n">
        <v>1691778</v>
      </c>
      <c r="AG57" s="16" t="n">
        <v>1339938</v>
      </c>
      <c r="AH57" s="16" t="n">
        <v>1491556</v>
      </c>
      <c r="AI57" s="8"/>
    </row>
    <row r="58" customFormat="false" ht="16.4" hidden="false" customHeight="false" outlineLevel="0" collapsed="false">
      <c r="B58" s="9"/>
      <c r="C58" s="14"/>
      <c r="D58" s="15" t="s">
        <v>28</v>
      </c>
      <c r="E58" s="16" t="n">
        <v>158994</v>
      </c>
      <c r="F58" s="16" t="n">
        <v>81773</v>
      </c>
      <c r="G58" s="16" t="n">
        <v>42903</v>
      </c>
      <c r="H58" s="16" t="n">
        <v>25271</v>
      </c>
      <c r="I58" s="16" t="n">
        <v>19876</v>
      </c>
      <c r="J58" s="16" t="n">
        <v>26933</v>
      </c>
      <c r="K58" s="7"/>
      <c r="L58" s="7"/>
      <c r="M58" s="16" t="n">
        <v>1288101</v>
      </c>
      <c r="N58" s="16" t="n">
        <v>662642</v>
      </c>
      <c r="O58" s="16" t="n">
        <v>348524</v>
      </c>
      <c r="P58" s="16" t="n">
        <v>197624</v>
      </c>
      <c r="Q58" s="16" t="n">
        <v>156313</v>
      </c>
      <c r="R58" s="16" t="n">
        <v>161601</v>
      </c>
      <c r="S58" s="7"/>
      <c r="T58" s="7"/>
      <c r="U58" s="16" t="n">
        <v>4447778</v>
      </c>
      <c r="V58" s="16" t="n">
        <v>2313063</v>
      </c>
      <c r="W58" s="16" t="n">
        <v>1237645</v>
      </c>
      <c r="X58" s="16" t="n">
        <v>701315</v>
      </c>
      <c r="Y58" s="16" t="n">
        <v>543440</v>
      </c>
      <c r="Z58" s="16" t="n">
        <v>538950</v>
      </c>
      <c r="AA58" s="7"/>
      <c r="AB58" s="7"/>
      <c r="AC58" s="16" t="n">
        <v>10459023</v>
      </c>
      <c r="AD58" s="16" t="n">
        <v>5547773</v>
      </c>
      <c r="AE58" s="16" t="n">
        <v>2984716</v>
      </c>
      <c r="AF58" s="16" t="n">
        <v>1684368</v>
      </c>
      <c r="AG58" s="16" t="n">
        <v>1300939</v>
      </c>
      <c r="AH58" s="16" t="n">
        <v>1405054</v>
      </c>
      <c r="AI58" s="8"/>
    </row>
    <row r="59" customFormat="false" ht="16.4" hidden="false" customHeight="false" outlineLevel="0" collapsed="false">
      <c r="B59" s="9"/>
      <c r="C59" s="14"/>
      <c r="D59" s="15" t="s">
        <v>29</v>
      </c>
      <c r="E59" s="16" t="n">
        <v>157892</v>
      </c>
      <c r="F59" s="16" t="n">
        <v>82128</v>
      </c>
      <c r="G59" s="16" t="n">
        <v>44369</v>
      </c>
      <c r="H59" s="16" t="n">
        <v>26423</v>
      </c>
      <c r="I59" s="16" t="n">
        <v>20440</v>
      </c>
      <c r="J59" s="16" t="n">
        <v>27522</v>
      </c>
      <c r="K59" s="7"/>
      <c r="L59" s="7"/>
      <c r="M59" s="16" t="n">
        <v>1286133</v>
      </c>
      <c r="N59" s="16" t="n">
        <v>662512</v>
      </c>
      <c r="O59" s="16" t="n">
        <v>349599</v>
      </c>
      <c r="P59" s="16" t="n">
        <v>197946</v>
      </c>
      <c r="Q59" s="16" t="n">
        <v>165727</v>
      </c>
      <c r="R59" s="16" t="n">
        <v>160941</v>
      </c>
      <c r="S59" s="7"/>
      <c r="T59" s="7"/>
      <c r="U59" s="16" t="n">
        <v>4420796</v>
      </c>
      <c r="V59" s="16" t="n">
        <v>2368008</v>
      </c>
      <c r="W59" s="16" t="n">
        <v>1232387</v>
      </c>
      <c r="X59" s="16" t="n">
        <v>704073</v>
      </c>
      <c r="Y59" s="16" t="n">
        <v>545984</v>
      </c>
      <c r="Z59" s="16" t="n">
        <v>524236</v>
      </c>
      <c r="AA59" s="7"/>
      <c r="AB59" s="7"/>
      <c r="AC59" s="16" t="n">
        <v>10414967</v>
      </c>
      <c r="AD59" s="16" t="n">
        <v>5536583</v>
      </c>
      <c r="AE59" s="16" t="n">
        <v>2961344</v>
      </c>
      <c r="AF59" s="16" t="n">
        <v>1694659</v>
      </c>
      <c r="AG59" s="16" t="n">
        <v>1247192</v>
      </c>
      <c r="AH59" s="16" t="n">
        <v>1452433</v>
      </c>
      <c r="AI59" s="8"/>
    </row>
    <row r="60" customFormat="false" ht="16.4" hidden="false" customHeight="false" outlineLevel="0" collapsed="false">
      <c r="B60" s="9"/>
      <c r="C60" s="14"/>
      <c r="D60" s="15" t="s">
        <v>30</v>
      </c>
      <c r="E60" s="16" t="n">
        <v>157758</v>
      </c>
      <c r="F60" s="16" t="n">
        <v>83228</v>
      </c>
      <c r="G60" s="16" t="n">
        <v>43450</v>
      </c>
      <c r="H60" s="16" t="n">
        <v>25447</v>
      </c>
      <c r="I60" s="16" t="n">
        <v>20797</v>
      </c>
      <c r="J60" s="16" t="n">
        <v>29094</v>
      </c>
      <c r="K60" s="7"/>
      <c r="L60" s="7"/>
      <c r="M60" s="16" t="n">
        <v>1287561</v>
      </c>
      <c r="N60" s="16" t="n">
        <v>663489</v>
      </c>
      <c r="O60" s="16" t="n">
        <v>349415</v>
      </c>
      <c r="P60" s="16" t="n">
        <v>196908</v>
      </c>
      <c r="Q60" s="16" t="n">
        <v>165133</v>
      </c>
      <c r="R60" s="16" t="n">
        <v>172970</v>
      </c>
      <c r="S60" s="7"/>
      <c r="T60" s="7"/>
      <c r="U60" s="16" t="n">
        <v>4437786</v>
      </c>
      <c r="V60" s="16" t="n">
        <v>2304229</v>
      </c>
      <c r="W60" s="16" t="n">
        <v>1236892</v>
      </c>
      <c r="X60" s="16" t="n">
        <v>703031</v>
      </c>
      <c r="Y60" s="16" t="n">
        <v>566771</v>
      </c>
      <c r="Z60" s="16" t="n">
        <v>536598</v>
      </c>
      <c r="AA60" s="7"/>
      <c r="AB60" s="7"/>
      <c r="AC60" s="16" t="n">
        <v>10527735</v>
      </c>
      <c r="AD60" s="16" t="n">
        <v>5536092</v>
      </c>
      <c r="AE60" s="16" t="n">
        <v>2967739</v>
      </c>
      <c r="AF60" s="16" t="n">
        <v>1692669</v>
      </c>
      <c r="AG60" s="16" t="n">
        <v>1294971</v>
      </c>
      <c r="AH60" s="16" t="n">
        <v>1428981</v>
      </c>
      <c r="AI60" s="8"/>
    </row>
    <row r="61" customFormat="false" ht="16.4" hidden="false" customHeight="false" outlineLevel="0" collapsed="false">
      <c r="B61" s="9"/>
      <c r="C61" s="14"/>
      <c r="D61" s="15" t="s">
        <v>31</v>
      </c>
      <c r="E61" s="16" t="n">
        <v>155833</v>
      </c>
      <c r="F61" s="16" t="n">
        <v>81966</v>
      </c>
      <c r="G61" s="16" t="n">
        <v>44386</v>
      </c>
      <c r="H61" s="16" t="n">
        <v>24808</v>
      </c>
      <c r="I61" s="16" t="n">
        <v>21003</v>
      </c>
      <c r="J61" s="16" t="n">
        <v>29330</v>
      </c>
      <c r="K61" s="7"/>
      <c r="L61" s="7"/>
      <c r="M61" s="16" t="n">
        <v>1285796</v>
      </c>
      <c r="N61" s="16" t="n">
        <v>664615</v>
      </c>
      <c r="O61" s="16" t="n">
        <v>350248</v>
      </c>
      <c r="P61" s="16" t="n">
        <v>200951</v>
      </c>
      <c r="Q61" s="16" t="n">
        <v>165642</v>
      </c>
      <c r="R61" s="16" t="n">
        <v>160644</v>
      </c>
      <c r="S61" s="7"/>
      <c r="T61" s="7"/>
      <c r="U61" s="16" t="n">
        <v>4388887</v>
      </c>
      <c r="V61" s="16" t="n">
        <v>2317101</v>
      </c>
      <c r="W61" s="16" t="n">
        <v>1237392</v>
      </c>
      <c r="X61" s="16" t="n">
        <v>705223</v>
      </c>
      <c r="Y61" s="16" t="n">
        <v>536858</v>
      </c>
      <c r="Z61" s="16" t="n">
        <v>548278</v>
      </c>
      <c r="AA61" s="7"/>
      <c r="AB61" s="7"/>
      <c r="AC61" s="16" t="n">
        <v>10661059</v>
      </c>
      <c r="AD61" s="16" t="n">
        <v>5534100</v>
      </c>
      <c r="AE61" s="16" t="n">
        <v>2973839</v>
      </c>
      <c r="AF61" s="16" t="n">
        <v>1698551</v>
      </c>
      <c r="AG61" s="16" t="n">
        <v>1335208</v>
      </c>
      <c r="AH61" s="16" t="n">
        <v>1418618</v>
      </c>
      <c r="AI61" s="8"/>
    </row>
    <row r="62" customFormat="false" ht="16.4" hidden="false" customHeight="false" outlineLevel="0" collapsed="false">
      <c r="B62" s="9"/>
      <c r="C62" s="14"/>
      <c r="D62" s="15" t="s">
        <v>32</v>
      </c>
      <c r="E62" s="16" t="n">
        <v>155752</v>
      </c>
      <c r="F62" s="16" t="n">
        <v>81404</v>
      </c>
      <c r="G62" s="16" t="n">
        <v>44253</v>
      </c>
      <c r="H62" s="16" t="n">
        <v>25232</v>
      </c>
      <c r="I62" s="16" t="n">
        <v>21141</v>
      </c>
      <c r="J62" s="16" t="n">
        <v>26217</v>
      </c>
      <c r="K62" s="7"/>
      <c r="L62" s="7"/>
      <c r="M62" s="16" t="n">
        <v>1285406</v>
      </c>
      <c r="N62" s="16" t="n">
        <v>687375</v>
      </c>
      <c r="O62" s="16" t="n">
        <v>350252</v>
      </c>
      <c r="P62" s="16" t="n">
        <v>198461</v>
      </c>
      <c r="Q62" s="16" t="n">
        <v>156675</v>
      </c>
      <c r="R62" s="16" t="n">
        <v>163226</v>
      </c>
      <c r="S62" s="7"/>
      <c r="T62" s="7"/>
      <c r="U62" s="16" t="n">
        <v>4445575</v>
      </c>
      <c r="V62" s="16" t="n">
        <v>2302525</v>
      </c>
      <c r="W62" s="16" t="n">
        <v>1237153</v>
      </c>
      <c r="X62" s="16" t="n">
        <v>706402</v>
      </c>
      <c r="Y62" s="16" t="n">
        <v>546294</v>
      </c>
      <c r="Z62" s="16" t="n">
        <v>513708</v>
      </c>
      <c r="AA62" s="7"/>
      <c r="AB62" s="7"/>
      <c r="AC62" s="16" t="n">
        <v>10645063</v>
      </c>
      <c r="AD62" s="16" t="n">
        <v>5538451</v>
      </c>
      <c r="AE62" s="16" t="n">
        <v>3001513</v>
      </c>
      <c r="AF62" s="16" t="n">
        <v>1699182</v>
      </c>
      <c r="AG62" s="16" t="n">
        <v>1217397</v>
      </c>
      <c r="AH62" s="16" t="n">
        <v>1451631</v>
      </c>
      <c r="AI62" s="8"/>
    </row>
    <row r="63" customFormat="false" ht="16.4" hidden="false" customHeight="false" outlineLevel="0" collapsed="false">
      <c r="B63" s="9"/>
      <c r="C63" s="14"/>
      <c r="D63" s="15" t="s">
        <v>33</v>
      </c>
      <c r="E63" s="16" t="n">
        <v>156850</v>
      </c>
      <c r="F63" s="16" t="n">
        <v>81497</v>
      </c>
      <c r="G63" s="16" t="n">
        <v>43397</v>
      </c>
      <c r="H63" s="16" t="n">
        <v>24768</v>
      </c>
      <c r="I63" s="16" t="n">
        <v>19469</v>
      </c>
      <c r="J63" s="16" t="n">
        <v>30897</v>
      </c>
      <c r="K63" s="7"/>
      <c r="L63" s="7"/>
      <c r="M63" s="16" t="n">
        <v>1284505</v>
      </c>
      <c r="N63" s="16" t="n">
        <v>664306</v>
      </c>
      <c r="O63" s="16" t="n">
        <v>350166</v>
      </c>
      <c r="P63" s="16" t="n">
        <v>199056</v>
      </c>
      <c r="Q63" s="16" t="n">
        <v>163447</v>
      </c>
      <c r="R63" s="16" t="n">
        <v>167564</v>
      </c>
      <c r="S63" s="7"/>
      <c r="T63" s="7"/>
      <c r="U63" s="16" t="n">
        <v>4367443</v>
      </c>
      <c r="V63" s="16" t="n">
        <v>2301234</v>
      </c>
      <c r="W63" s="16" t="n">
        <v>1237648</v>
      </c>
      <c r="X63" s="16" t="n">
        <v>703707</v>
      </c>
      <c r="Y63" s="16" t="n">
        <v>502618</v>
      </c>
      <c r="Z63" s="16" t="n">
        <v>531497</v>
      </c>
      <c r="AA63" s="7"/>
      <c r="AB63" s="7"/>
      <c r="AC63" s="16" t="n">
        <v>10617906</v>
      </c>
      <c r="AD63" s="16" t="n">
        <v>5574678</v>
      </c>
      <c r="AE63" s="16" t="n">
        <v>2981340</v>
      </c>
      <c r="AF63" s="16" t="n">
        <v>1697207</v>
      </c>
      <c r="AG63" s="16" t="n">
        <v>1337882</v>
      </c>
      <c r="AH63" s="16" t="n">
        <v>1467195</v>
      </c>
      <c r="AI63" s="8"/>
    </row>
    <row r="64" customFormat="false" ht="16.4" hidden="false" customHeight="false" outlineLevel="0" collapsed="false">
      <c r="B64" s="9"/>
      <c r="C64" s="14"/>
      <c r="D64" s="15" t="s">
        <v>34</v>
      </c>
      <c r="E64" s="16" t="n">
        <v>157944</v>
      </c>
      <c r="F64" s="16" t="n">
        <v>81420</v>
      </c>
      <c r="G64" s="16" t="n">
        <v>43191</v>
      </c>
      <c r="H64" s="16" t="n">
        <v>25352</v>
      </c>
      <c r="I64" s="16" t="n">
        <v>20516</v>
      </c>
      <c r="J64" s="16" t="n">
        <v>27880</v>
      </c>
      <c r="K64" s="7"/>
      <c r="L64" s="7"/>
      <c r="M64" s="16" t="n">
        <v>1261813</v>
      </c>
      <c r="N64" s="16" t="n">
        <v>664041</v>
      </c>
      <c r="O64" s="16" t="n">
        <v>353497</v>
      </c>
      <c r="P64" s="16" t="n">
        <v>198505</v>
      </c>
      <c r="Q64" s="16" t="n">
        <v>165115</v>
      </c>
      <c r="R64" s="16" t="n">
        <v>170793</v>
      </c>
      <c r="S64" s="7"/>
      <c r="T64" s="7"/>
      <c r="U64" s="16" t="n">
        <v>4410947</v>
      </c>
      <c r="V64" s="16" t="n">
        <v>2347466</v>
      </c>
      <c r="W64" s="16" t="n">
        <v>1237616</v>
      </c>
      <c r="X64" s="16" t="n">
        <v>701342</v>
      </c>
      <c r="Y64" s="16" t="n">
        <v>549707</v>
      </c>
      <c r="Z64" s="16" t="n">
        <v>518947</v>
      </c>
      <c r="AA64" s="7"/>
      <c r="AB64" s="7"/>
      <c r="AC64" s="16" t="n">
        <v>10678450</v>
      </c>
      <c r="AD64" s="16" t="n">
        <v>5538462</v>
      </c>
      <c r="AE64" s="16" t="n">
        <v>2970330</v>
      </c>
      <c r="AF64" s="16" t="n">
        <v>1700835</v>
      </c>
      <c r="AG64" s="16" t="n">
        <v>1366010</v>
      </c>
      <c r="AH64" s="16" t="n">
        <v>1480212</v>
      </c>
      <c r="AI64" s="8"/>
    </row>
    <row r="65" customFormat="false" ht="16.4" hidden="false" customHeight="false" outlineLevel="0" collapsed="false">
      <c r="B65" s="9"/>
      <c r="C65" s="14"/>
      <c r="D65" s="15" t="s">
        <v>35</v>
      </c>
      <c r="E65" s="16" t="n">
        <v>157097</v>
      </c>
      <c r="F65" s="16" t="n">
        <v>81461</v>
      </c>
      <c r="G65" s="16" t="n">
        <v>43679</v>
      </c>
      <c r="H65" s="16" t="n">
        <v>25462</v>
      </c>
      <c r="I65" s="16" t="n">
        <v>20307</v>
      </c>
      <c r="J65" s="16" t="n">
        <v>27939</v>
      </c>
      <c r="K65" s="7"/>
      <c r="L65" s="7"/>
      <c r="M65" s="16" t="n">
        <v>1322396</v>
      </c>
      <c r="N65" s="16" t="n">
        <v>662158</v>
      </c>
      <c r="O65" s="16" t="n">
        <v>349373</v>
      </c>
      <c r="P65" s="16" t="n">
        <v>198938</v>
      </c>
      <c r="Q65" s="16" t="n">
        <v>165532</v>
      </c>
      <c r="R65" s="16" t="n">
        <v>169719</v>
      </c>
      <c r="S65" s="7"/>
      <c r="T65" s="7"/>
      <c r="U65" s="16" t="n">
        <v>4397820</v>
      </c>
      <c r="V65" s="16" t="n">
        <v>2308425</v>
      </c>
      <c r="W65" s="16" t="n">
        <v>1240259</v>
      </c>
      <c r="X65" s="16" t="n">
        <v>703462</v>
      </c>
      <c r="Y65" s="16" t="n">
        <v>546307</v>
      </c>
      <c r="Z65" s="16" t="n">
        <v>523701</v>
      </c>
      <c r="AA65" s="7"/>
      <c r="AB65" s="7"/>
      <c r="AC65" s="16" t="n">
        <v>10384330</v>
      </c>
      <c r="AD65" s="16" t="n">
        <v>5528095</v>
      </c>
      <c r="AE65" s="16" t="n">
        <v>2980480</v>
      </c>
      <c r="AF65" s="16" t="n">
        <v>1700316</v>
      </c>
      <c r="AG65" s="16" t="n">
        <v>1336459</v>
      </c>
      <c r="AH65" s="16" t="n">
        <v>1423177</v>
      </c>
      <c r="AI65" s="8"/>
    </row>
    <row r="66" customFormat="false" ht="16.4" hidden="false" customHeight="false" outlineLevel="0" collapsed="false">
      <c r="B66" s="9"/>
      <c r="C66" s="14"/>
      <c r="D66" s="15" t="s">
        <v>36</v>
      </c>
      <c r="E66" s="16" t="n">
        <v>158312</v>
      </c>
      <c r="F66" s="16" t="n">
        <v>81666</v>
      </c>
      <c r="G66" s="16" t="n">
        <v>43624</v>
      </c>
      <c r="H66" s="16" t="n">
        <v>25962</v>
      </c>
      <c r="I66" s="16" t="n">
        <v>21879</v>
      </c>
      <c r="J66" s="16" t="n">
        <v>28015</v>
      </c>
      <c r="K66" s="7"/>
      <c r="L66" s="7"/>
      <c r="M66" s="16" t="n">
        <v>1325799</v>
      </c>
      <c r="N66" s="16" t="n">
        <v>662954</v>
      </c>
      <c r="O66" s="16" t="n">
        <v>351291</v>
      </c>
      <c r="P66" s="16" t="n">
        <v>197223</v>
      </c>
      <c r="Q66" s="16" t="n">
        <v>164729</v>
      </c>
      <c r="R66" s="16" t="n">
        <v>161367</v>
      </c>
      <c r="S66" s="7"/>
      <c r="T66" s="7"/>
      <c r="U66" s="16" t="n">
        <v>4395482</v>
      </c>
      <c r="V66" s="16" t="n">
        <v>2315425</v>
      </c>
      <c r="W66" s="16" t="n">
        <v>1236873</v>
      </c>
      <c r="X66" s="16" t="n">
        <v>702792</v>
      </c>
      <c r="Y66" s="16" t="n">
        <v>560873</v>
      </c>
      <c r="Z66" s="16" t="n">
        <v>529003</v>
      </c>
      <c r="AA66" s="7"/>
      <c r="AB66" s="7"/>
      <c r="AC66" s="16" t="n">
        <v>10595913</v>
      </c>
      <c r="AD66" s="16" t="n">
        <v>5555144</v>
      </c>
      <c r="AE66" s="16" t="n">
        <v>2985357</v>
      </c>
      <c r="AF66" s="16" t="n">
        <v>1765181</v>
      </c>
      <c r="AG66" s="16" t="n">
        <v>1204714</v>
      </c>
      <c r="AH66" s="16" t="n">
        <v>1431923</v>
      </c>
      <c r="AI66" s="8"/>
    </row>
    <row r="67" customFormat="false" ht="16.4" hidden="false" customHeight="false" outlineLevel="0" collapsed="false">
      <c r="B67" s="9"/>
      <c r="C67" s="14"/>
      <c r="D67" s="15" t="s">
        <v>37</v>
      </c>
      <c r="E67" s="16" t="n">
        <v>156116</v>
      </c>
      <c r="F67" s="16" t="n">
        <v>81969</v>
      </c>
      <c r="G67" s="16" t="n">
        <v>43362</v>
      </c>
      <c r="H67" s="16" t="n">
        <v>25704</v>
      </c>
      <c r="I67" s="16" t="n">
        <v>20590</v>
      </c>
      <c r="J67" s="16" t="n">
        <v>29236</v>
      </c>
      <c r="K67" s="7"/>
      <c r="L67" s="7"/>
      <c r="M67" s="16" t="n">
        <v>1287303</v>
      </c>
      <c r="N67" s="16" t="n">
        <v>665728</v>
      </c>
      <c r="O67" s="16" t="n">
        <v>352021</v>
      </c>
      <c r="P67" s="16" t="n">
        <v>199912</v>
      </c>
      <c r="Q67" s="16" t="n">
        <v>166085</v>
      </c>
      <c r="R67" s="16" t="n">
        <v>155499</v>
      </c>
      <c r="S67" s="7"/>
      <c r="T67" s="7"/>
      <c r="U67" s="16" t="n">
        <v>4444574</v>
      </c>
      <c r="V67" s="16" t="n">
        <v>2312259</v>
      </c>
      <c r="W67" s="16" t="n">
        <v>1266337</v>
      </c>
      <c r="X67" s="16" t="n">
        <v>702545</v>
      </c>
      <c r="Y67" s="16" t="n">
        <v>558744</v>
      </c>
      <c r="Z67" s="16" t="n">
        <v>510683</v>
      </c>
      <c r="AA67" s="7"/>
      <c r="AB67" s="7"/>
      <c r="AC67" s="16" t="n">
        <v>10620896</v>
      </c>
      <c r="AD67" s="16" t="n">
        <v>5552675</v>
      </c>
      <c r="AE67" s="16" t="n">
        <v>2982204</v>
      </c>
      <c r="AF67" s="16" t="n">
        <v>1703548</v>
      </c>
      <c r="AG67" s="16" t="n">
        <v>1284419</v>
      </c>
      <c r="AH67" s="16" t="n">
        <v>1430235</v>
      </c>
      <c r="AI67" s="8"/>
    </row>
    <row r="68" customFormat="false" ht="16.4" hidden="false" customHeight="false" outlineLevel="0" collapsed="false">
      <c r="B68" s="9"/>
      <c r="C68" s="14"/>
      <c r="D68" s="15" t="s">
        <v>38</v>
      </c>
      <c r="E68" s="16" t="n">
        <v>158077</v>
      </c>
      <c r="F68" s="16" t="n">
        <v>81486</v>
      </c>
      <c r="G68" s="16" t="n">
        <v>43664</v>
      </c>
      <c r="H68" s="16" t="n">
        <v>24539</v>
      </c>
      <c r="I68" s="16" t="n">
        <v>20081</v>
      </c>
      <c r="J68" s="16" t="n">
        <v>26832</v>
      </c>
      <c r="K68" s="7"/>
      <c r="L68" s="7"/>
      <c r="M68" s="16" t="n">
        <v>1258449</v>
      </c>
      <c r="N68" s="16" t="n">
        <v>667957</v>
      </c>
      <c r="O68" s="16" t="n">
        <v>351918</v>
      </c>
      <c r="P68" s="16" t="n">
        <v>198393</v>
      </c>
      <c r="Q68" s="16" t="n">
        <v>166243</v>
      </c>
      <c r="R68" s="16" t="n">
        <v>171767</v>
      </c>
      <c r="S68" s="7"/>
      <c r="T68" s="7"/>
      <c r="U68" s="16" t="n">
        <v>4444326</v>
      </c>
      <c r="V68" s="16" t="n">
        <v>2308445</v>
      </c>
      <c r="W68" s="16" t="n">
        <v>1239255</v>
      </c>
      <c r="X68" s="16" t="n">
        <v>706414</v>
      </c>
      <c r="Y68" s="16" t="n">
        <v>534432</v>
      </c>
      <c r="Z68" s="16" t="n">
        <v>546631</v>
      </c>
      <c r="AA68" s="7"/>
      <c r="AB68" s="7"/>
      <c r="AC68" s="16" t="n">
        <v>10610153</v>
      </c>
      <c r="AD68" s="16" t="n">
        <v>5558955</v>
      </c>
      <c r="AE68" s="16" t="n">
        <v>2970296</v>
      </c>
      <c r="AF68" s="16" t="n">
        <v>1696993</v>
      </c>
      <c r="AG68" s="16" t="n">
        <v>1290858</v>
      </c>
      <c r="AH68" s="16" t="n">
        <v>1397303</v>
      </c>
      <c r="AI68" s="8"/>
    </row>
    <row r="69" customFormat="false" ht="16.4" hidden="false" customHeight="false" outlineLevel="0" collapsed="false">
      <c r="B69" s="9"/>
      <c r="C69" s="14"/>
      <c r="D69" s="15" t="s">
        <v>39</v>
      </c>
      <c r="E69" s="16" t="n">
        <v>157327</v>
      </c>
      <c r="F69" s="16" t="n">
        <v>81877</v>
      </c>
      <c r="G69" s="16" t="n">
        <v>44218</v>
      </c>
      <c r="H69" s="16" t="n">
        <v>24384</v>
      </c>
      <c r="I69" s="16" t="n">
        <v>20177</v>
      </c>
      <c r="J69" s="16" t="n">
        <v>30247</v>
      </c>
      <c r="K69" s="7"/>
      <c r="L69" s="7"/>
      <c r="M69" s="16" t="n">
        <v>1282998</v>
      </c>
      <c r="N69" s="16" t="n">
        <v>664569</v>
      </c>
      <c r="O69" s="16" t="n">
        <v>351782</v>
      </c>
      <c r="P69" s="16" t="n">
        <v>198935</v>
      </c>
      <c r="Q69" s="16" t="n">
        <v>158146</v>
      </c>
      <c r="R69" s="16" t="n">
        <v>162777</v>
      </c>
      <c r="S69" s="7"/>
      <c r="T69" s="7"/>
      <c r="U69" s="16" t="n">
        <v>4400595</v>
      </c>
      <c r="V69" s="16" t="n">
        <v>2311185</v>
      </c>
      <c r="W69" s="16" t="n">
        <v>1245610</v>
      </c>
      <c r="X69" s="16" t="n">
        <v>702281</v>
      </c>
      <c r="Y69" s="16" t="n">
        <v>555781</v>
      </c>
      <c r="Z69" s="16" t="n">
        <v>517089</v>
      </c>
      <c r="AA69" s="7"/>
      <c r="AB69" s="7"/>
      <c r="AC69" s="16" t="n">
        <v>10633598</v>
      </c>
      <c r="AD69" s="16" t="n">
        <v>5531792</v>
      </c>
      <c r="AE69" s="16" t="n">
        <v>2976771</v>
      </c>
      <c r="AF69" s="16" t="n">
        <v>1735569</v>
      </c>
      <c r="AG69" s="16" t="n">
        <v>1228685</v>
      </c>
      <c r="AH69" s="16" t="n">
        <v>1437552</v>
      </c>
      <c r="AI69" s="8"/>
    </row>
    <row r="70" customFormat="false" ht="16.4" hidden="false" customHeight="false" outlineLevel="0" collapsed="false">
      <c r="B70" s="9"/>
      <c r="C70" s="14"/>
      <c r="D70" s="15" t="s">
        <v>40</v>
      </c>
      <c r="E70" s="16" t="n">
        <v>159273</v>
      </c>
      <c r="F70" s="16" t="n">
        <v>81412</v>
      </c>
      <c r="G70" s="16" t="n">
        <v>44700</v>
      </c>
      <c r="H70" s="16" t="n">
        <v>27805</v>
      </c>
      <c r="I70" s="16" t="n">
        <v>20447</v>
      </c>
      <c r="J70" s="16" t="n">
        <v>26646</v>
      </c>
      <c r="K70" s="7"/>
      <c r="L70" s="7"/>
      <c r="M70" s="16" t="n">
        <v>1281751</v>
      </c>
      <c r="N70" s="16" t="n">
        <v>667942</v>
      </c>
      <c r="O70" s="16" t="n">
        <v>350066</v>
      </c>
      <c r="P70" s="16" t="n">
        <v>198101</v>
      </c>
      <c r="Q70" s="16" t="n">
        <v>165430</v>
      </c>
      <c r="R70" s="16" t="n">
        <v>165924</v>
      </c>
      <c r="S70" s="7"/>
      <c r="T70" s="7"/>
      <c r="U70" s="16" t="n">
        <v>4360372</v>
      </c>
      <c r="V70" s="16" t="n">
        <v>2314338</v>
      </c>
      <c r="W70" s="16" t="n">
        <v>1255100</v>
      </c>
      <c r="X70" s="16" t="n">
        <v>711702</v>
      </c>
      <c r="Y70" s="16" t="n">
        <v>567004</v>
      </c>
      <c r="Z70" s="16" t="n">
        <v>526280</v>
      </c>
      <c r="AA70" s="7"/>
      <c r="AB70" s="7"/>
      <c r="AC70" s="16" t="n">
        <v>10650325</v>
      </c>
      <c r="AD70" s="16" t="n">
        <v>5523029</v>
      </c>
      <c r="AE70" s="16" t="n">
        <v>2979266</v>
      </c>
      <c r="AF70" s="16" t="n">
        <v>1707264</v>
      </c>
      <c r="AG70" s="16" t="n">
        <v>1308116</v>
      </c>
      <c r="AH70" s="16" t="n">
        <v>1415325</v>
      </c>
      <c r="AI70" s="8"/>
    </row>
    <row r="71" customFormat="false" ht="14.25" hidden="false" customHeight="false" outlineLevel="0" collapsed="false">
      <c r="B71" s="9"/>
      <c r="C71" s="18"/>
      <c r="D71" s="19" t="s">
        <v>41</v>
      </c>
      <c r="E71" s="20" t="n">
        <f aca="false" t="array" ref="E71:E71">ROUND(AVERAGE(IF((ISNUMBER(E41:E70))*(E41:E70&lt;LARGE(E41:E70,2))*(E41:E70&gt;SMALL(E41:E70,2)),E41:E70)),0)</f>
        <v>158006</v>
      </c>
      <c r="F71" s="20" t="n">
        <f aca="false" t="array" ref="F71:F71">ROUND(AVERAGE(IF((ISNUMBER(F41:F70))*(F41:F70&lt;LARGE(F41:F70,2))*(F41:F70&gt;SMALL(F41:F70,2)),F41:F70)),0)</f>
        <v>81795</v>
      </c>
      <c r="G71" s="20" t="n">
        <f aca="false" t="array" ref="G71:G71">ROUND(AVERAGE(IF((ISNUMBER(G41:G70))*(G41:G70&lt;LARGE(G41:G70,2))*(G41:G70&gt;SMALL(G41:G70,2)),G41:G70)),0)</f>
        <v>43578</v>
      </c>
      <c r="H71" s="20" t="n">
        <f aca="false" t="array" ref="H71:H71">ROUND(AVERAGE(IF((ISNUMBER(H41:H70))*(H41:H70&lt;LARGE(H41:H70,2))*(H41:H70&gt;SMALL(H41:H70,2)),H41:H70)),0)</f>
        <v>25078</v>
      </c>
      <c r="I71" s="20" t="n">
        <f aca="false" t="array" ref="I71:I71">ROUND(AVERAGE(IF((ISNUMBER(I41:I70))*(I41:I70&lt;LARGE(I41:I70,2))*(I41:I70&gt;SMALL(I41:I70,2)),I41:I70)),0)</f>
        <v>20424</v>
      </c>
      <c r="J71" s="20" t="n">
        <f aca="false" t="array" ref="J71:J71">ROUND(AVERAGE(IF((ISNUMBER(J41:J70))*(J41:J70&lt;LARGE(J41:J70,2))*(J41:J70&gt;SMALL(J41:J70,2)),J41:J70)),0)</f>
        <v>27629</v>
      </c>
      <c r="K71" s="20"/>
      <c r="L71" s="20"/>
      <c r="M71" s="20" t="n">
        <f aca="false" t="array" ref="M71:M71">ROUND(AVERAGE(IF((ISNUMBER(M41:M70))*(M41:M70&lt;LARGE(M41:M70,2))*(M41:M70&gt;SMALL(M41:M70,2)),M41:M70)),0)</f>
        <v>1286535</v>
      </c>
      <c r="N71" s="20" t="n">
        <f aca="false" t="array" ref="N71:N71">ROUND(AVERAGE(IF((ISNUMBER(N41:N70))*(N41:N70&lt;LARGE(N41:N70,2))*(N41:N70&gt;SMALL(N41:N70,2)),N41:N70)),0)</f>
        <v>663879</v>
      </c>
      <c r="O71" s="20" t="n">
        <f aca="false" t="array" ref="O71:O71">ROUND(AVERAGE(IF((ISNUMBER(O41:O70))*(O41:O70&lt;LARGE(O41:O70,2))*(O41:O70&gt;SMALL(O41:O70,2)),O41:O70)),0)</f>
        <v>349535</v>
      </c>
      <c r="P71" s="20" t="n">
        <f aca="false" t="array" ref="P71:P71">ROUND(AVERAGE(IF((ISNUMBER(P41:P70))*(P41:P70&lt;LARGE(P41:P70,2))*(P41:P70&gt;SMALL(P41:P70,2)),P41:P70)),0)</f>
        <v>197312</v>
      </c>
      <c r="Q71" s="20" t="n">
        <f aca="false" t="array" ref="Q71:Q71">ROUND(AVERAGE(IF((ISNUMBER(Q41:Q70))*(Q41:Q70&lt;LARGE(Q41:Q70,2))*(Q41:Q70&gt;SMALL(Q41:Q70,2)),Q41:Q70)),0)</f>
        <v>160418</v>
      </c>
      <c r="R71" s="20" t="n">
        <f aca="false" t="array" ref="R71:R71">ROUND(AVERAGE(IF((ISNUMBER(R41:R70))*(R41:R70&lt;LARGE(R41:R70,2))*(R41:R70&gt;SMALL(R41:R70,2)),R41:R70)),0)</f>
        <v>163579</v>
      </c>
      <c r="S71" s="20"/>
      <c r="T71" s="20"/>
      <c r="U71" s="20" t="n">
        <f aca="false" t="array" ref="U71:U71">ROUND(AVERAGE(IF((ISNUMBER(U41:U70))*(U41:U70&lt;LARGE(U41:U70,2))*(U41:U70&gt;SMALL(U41:U70,2)),U41:U70)),0)</f>
        <v>4427262</v>
      </c>
      <c r="V71" s="20" t="n">
        <f aca="false" t="array" ref="V71:V71">ROUND(AVERAGE(IF((ISNUMBER(V41:V70))*(V41:V70&lt;LARGE(V41:V70,2))*(V41:V70&gt;SMALL(V41:V70,2)),V41:V70)),0)</f>
        <v>2310463</v>
      </c>
      <c r="W71" s="20" t="n">
        <f aca="false" t="array" ref="W71:W71">ROUND(AVERAGE(IF((ISNUMBER(W41:W70))*(W41:W70&lt;LARGE(W41:W70,2))*(W41:W70&gt;SMALL(W41:W70,2)),W41:W70)),0)</f>
        <v>1233896</v>
      </c>
      <c r="X71" s="20" t="n">
        <f aca="false" t="array" ref="X71:X71">ROUND(AVERAGE(IF((ISNUMBER(X41:X70))*(X41:X70&lt;LARGE(X41:X70,2))*(X41:X70&gt;SMALL(X41:X70,2)),X41:X70)),0)</f>
        <v>701085</v>
      </c>
      <c r="Y71" s="20" t="n">
        <f aca="false" t="array" ref="Y71:Y71">ROUND(AVERAGE(IF((ISNUMBER(Y41:Y70))*(Y41:Y70&lt;LARGE(Y41:Y70,2))*(Y41:Y70&gt;SMALL(Y41:Y70,2)),Y41:Y70)),0)</f>
        <v>550326</v>
      </c>
      <c r="Z71" s="20" t="n">
        <f aca="false" t="array" ref="Z71:Z71">ROUND(AVERAGE(IF((ISNUMBER(Z41:Z70))*(Z41:Z70&lt;LARGE(Z41:Z70,2))*(Z41:Z70&gt;SMALL(Z41:Z70,2)),Z41:Z70)),0)</f>
        <v>528818</v>
      </c>
      <c r="AA71" s="20"/>
      <c r="AB71" s="20"/>
      <c r="AC71" s="20" t="n">
        <f aca="false" t="array" ref="AC71:AC71">ROUND(AVERAGE(IF((ISNUMBER(AC41:AC70))*(AC41:AC70&lt;LARGE(AC41:AC70,2))*(AC41:AC70&gt;SMALL(AC41:AC70,2)),AC41:AC70)),0)</f>
        <v>10557450</v>
      </c>
      <c r="AD71" s="20" t="n">
        <f aca="false" t="array" ref="AD71:AD71">ROUND(AVERAGE(IF((ISNUMBER(AD41:AD70))*(AD41:AD70&lt;LARGE(AD41:AD70,2))*(AD41:AD70&gt;SMALL(AD41:AD70,2)),AD41:AD70)),0)</f>
        <v>5538301</v>
      </c>
      <c r="AE71" s="20" t="n">
        <f aca="false" t="array" ref="AE71:AE71">ROUND(AVERAGE(IF((ISNUMBER(AE41:AE70))*(AE41:AE70&lt;LARGE(AE41:AE70,2))*(AE41:AE70&gt;SMALL(AE41:AE70,2)),AE41:AE70)),0)</f>
        <v>2972951</v>
      </c>
      <c r="AF71" s="20" t="n">
        <f aca="false" t="array" ref="AF71:AF71">ROUND(AVERAGE(IF((ISNUMBER(AF41:AF70))*(AF41:AF70&lt;LARGE(AF41:AF70,2))*(AF41:AF70&gt;SMALL(AF41:AF70,2)),AF41:AF70)),0)</f>
        <v>1687880</v>
      </c>
      <c r="AG71" s="20" t="n">
        <f aca="false" t="array" ref="AG71:AG71">ROUND(AVERAGE(IF((ISNUMBER(AG41:AG70))*(AG41:AG70&lt;LARGE(AG41:AG70,2))*(AG41:AG70&gt;SMALL(AG41:AG70,2)),AG41:AG70)),0)</f>
        <v>1287740</v>
      </c>
      <c r="AH71" s="21" t="n">
        <f aca="false" t="array" ref="AH71:AH71">ROUND(AVERAGE(IF((ISNUMBER(AH41:AH70))*(AH41:AH70&lt;LARGE(AH41:AH70,2))*(AH41:AH70&gt;SMALL(AH41:AH70,2)),AH41:AH70)),0)</f>
        <v>1427425</v>
      </c>
      <c r="AI71" s="8"/>
    </row>
    <row r="72" customFormat="false" ht="14.25" hidden="false" customHeight="false" outlineLevel="0" collapsed="false"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5"/>
    </row>
    <row r="73" customFormat="false" ht="14.25" hidden="false" customHeight="false" outlineLevel="0" collapsed="false">
      <c r="B73" s="26"/>
      <c r="C73" s="7"/>
      <c r="D73" s="1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customFormat="false" ht="33.85" hidden="false" customHeight="false" outlineLevel="0" collapsed="false">
      <c r="B74" s="1" t="s">
        <v>44</v>
      </c>
      <c r="C74" s="2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4"/>
    </row>
    <row r="75" customFormat="false" ht="14.25" hidden="false" customHeight="false" outlineLevel="0" collapsed="false">
      <c r="B75" s="5"/>
      <c r="C75" s="6"/>
      <c r="D75" s="2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8"/>
    </row>
    <row r="76" customFormat="false" ht="14.25" hidden="false" customHeight="false" outlineLevel="0" collapsed="false">
      <c r="B76" s="9"/>
      <c r="C76" s="10" t="s">
        <v>1</v>
      </c>
      <c r="D76" s="11"/>
      <c r="E76" s="11" t="s">
        <v>2</v>
      </c>
      <c r="F76" s="11" t="s">
        <v>3</v>
      </c>
      <c r="G76" s="11" t="s">
        <v>4</v>
      </c>
      <c r="H76" s="11" t="s">
        <v>5</v>
      </c>
      <c r="I76" s="11" t="s">
        <v>6</v>
      </c>
      <c r="J76" s="11" t="s">
        <v>7</v>
      </c>
      <c r="K76" s="12" t="s">
        <v>8</v>
      </c>
      <c r="L76" s="12"/>
      <c r="M76" s="11" t="s">
        <v>2</v>
      </c>
      <c r="N76" s="11" t="s">
        <v>3</v>
      </c>
      <c r="O76" s="11" t="s">
        <v>4</v>
      </c>
      <c r="P76" s="11" t="s">
        <v>5</v>
      </c>
      <c r="Q76" s="11" t="s">
        <v>6</v>
      </c>
      <c r="R76" s="11" t="s">
        <v>7</v>
      </c>
      <c r="S76" s="12" t="s">
        <v>43</v>
      </c>
      <c r="T76" s="12"/>
      <c r="U76" s="11" t="s">
        <v>2</v>
      </c>
      <c r="V76" s="11" t="s">
        <v>3</v>
      </c>
      <c r="W76" s="11" t="s">
        <v>4</v>
      </c>
      <c r="X76" s="11" t="s">
        <v>5</v>
      </c>
      <c r="Y76" s="11" t="s">
        <v>6</v>
      </c>
      <c r="Z76" s="11" t="s">
        <v>7</v>
      </c>
      <c r="AA76" s="12" t="s">
        <v>45</v>
      </c>
      <c r="AB76" s="12"/>
      <c r="AC76" s="11" t="s">
        <v>2</v>
      </c>
      <c r="AD76" s="11" t="s">
        <v>3</v>
      </c>
      <c r="AE76" s="11" t="s">
        <v>4</v>
      </c>
      <c r="AF76" s="11" t="s">
        <v>5</v>
      </c>
      <c r="AG76" s="11" t="s">
        <v>6</v>
      </c>
      <c r="AH76" s="13" t="s">
        <v>7</v>
      </c>
      <c r="AI76" s="8"/>
    </row>
    <row r="77" customFormat="false" ht="16.4" hidden="false" customHeight="false" outlineLevel="0" collapsed="false">
      <c r="B77" s="9"/>
      <c r="C77" s="14"/>
      <c r="D77" s="15" t="s">
        <v>11</v>
      </c>
      <c r="E77" s="16" t="n">
        <v>159368</v>
      </c>
      <c r="F77" s="16" t="n">
        <v>82276</v>
      </c>
      <c r="G77" s="16" t="n">
        <v>42964</v>
      </c>
      <c r="H77" s="16" t="n">
        <v>24209</v>
      </c>
      <c r="I77" s="16" t="n">
        <v>26757</v>
      </c>
      <c r="J77" s="16" t="n">
        <v>23557</v>
      </c>
      <c r="K77" s="7"/>
      <c r="L77" s="7"/>
      <c r="M77" s="16" t="n">
        <v>1392094</v>
      </c>
      <c r="N77" s="16" t="n">
        <v>725948</v>
      </c>
      <c r="O77" s="16" t="n">
        <v>397672</v>
      </c>
      <c r="P77" s="16" t="n">
        <v>220971</v>
      </c>
      <c r="Q77" s="16" t="n">
        <v>269447</v>
      </c>
      <c r="R77" s="16" t="n">
        <v>383567</v>
      </c>
      <c r="S77" s="7"/>
      <c r="T77" s="7"/>
      <c r="U77" s="16" t="n">
        <v>6461474</v>
      </c>
      <c r="V77" s="16" t="n">
        <v>3969450</v>
      </c>
      <c r="W77" s="16" t="n">
        <v>2134629</v>
      </c>
      <c r="X77" s="16" t="n">
        <v>1206649</v>
      </c>
      <c r="Y77" s="16" t="n">
        <v>1365548</v>
      </c>
      <c r="Z77" s="16" t="n">
        <v>1826380</v>
      </c>
      <c r="AA77" s="7"/>
      <c r="AB77" s="7"/>
      <c r="AC77" s="16" t="n">
        <v>31193158</v>
      </c>
      <c r="AD77" s="16" t="n">
        <v>16367094</v>
      </c>
      <c r="AE77" s="16" t="n">
        <v>8915032</v>
      </c>
      <c r="AF77" s="16" t="n">
        <v>5169575</v>
      </c>
      <c r="AG77" s="16" t="n">
        <v>5392437</v>
      </c>
      <c r="AH77" s="16" t="n">
        <v>5526722</v>
      </c>
      <c r="AI77" s="8"/>
    </row>
    <row r="78" customFormat="false" ht="16.4" hidden="false" customHeight="false" outlineLevel="0" collapsed="false">
      <c r="B78" s="9"/>
      <c r="C78" s="14"/>
      <c r="D78" s="15" t="s">
        <v>12</v>
      </c>
      <c r="E78" s="16" t="n">
        <v>156954</v>
      </c>
      <c r="F78" s="16" t="n">
        <v>81626</v>
      </c>
      <c r="G78" s="16" t="n">
        <v>43227</v>
      </c>
      <c r="H78" s="16" t="n">
        <v>29713</v>
      </c>
      <c r="I78" s="16" t="n">
        <v>28183</v>
      </c>
      <c r="J78" s="16" t="n">
        <v>24074</v>
      </c>
      <c r="K78" s="7"/>
      <c r="L78" s="7"/>
      <c r="M78" s="16" t="n">
        <v>1401901</v>
      </c>
      <c r="N78" s="16" t="n">
        <v>736786</v>
      </c>
      <c r="O78" s="16" t="n">
        <v>402426</v>
      </c>
      <c r="P78" s="16" t="n">
        <v>223281</v>
      </c>
      <c r="Q78" s="16" t="n">
        <v>302893</v>
      </c>
      <c r="R78" s="16" t="n">
        <v>383508</v>
      </c>
      <c r="S78" s="7"/>
      <c r="T78" s="7"/>
      <c r="U78" s="16" t="n">
        <v>6440626</v>
      </c>
      <c r="V78" s="16" t="n">
        <v>3942331</v>
      </c>
      <c r="W78" s="16" t="n">
        <v>2154933</v>
      </c>
      <c r="X78" s="16" t="n">
        <v>1216299</v>
      </c>
      <c r="Y78" s="16" t="n">
        <v>1351455</v>
      </c>
      <c r="Z78" s="16" t="n">
        <v>1823978</v>
      </c>
      <c r="AA78" s="7"/>
      <c r="AB78" s="7"/>
      <c r="AC78" s="16" t="n">
        <v>31655939</v>
      </c>
      <c r="AD78" s="16" t="n">
        <v>16405463</v>
      </c>
      <c r="AE78" s="16" t="n">
        <v>8989472</v>
      </c>
      <c r="AF78" s="16" t="n">
        <v>5287355</v>
      </c>
      <c r="AG78" s="16" t="n">
        <v>5354341</v>
      </c>
      <c r="AH78" s="16" t="n">
        <v>5510200</v>
      </c>
      <c r="AI78" s="8"/>
    </row>
    <row r="79" customFormat="false" ht="16.4" hidden="false" customHeight="false" outlineLevel="0" collapsed="false">
      <c r="B79" s="9"/>
      <c r="C79" s="14"/>
      <c r="D79" s="15" t="s">
        <v>13</v>
      </c>
      <c r="E79" s="16" t="n">
        <v>157085</v>
      </c>
      <c r="F79" s="16" t="n">
        <v>82138</v>
      </c>
      <c r="G79" s="16" t="n">
        <v>46490</v>
      </c>
      <c r="H79" s="16" t="n">
        <v>24791</v>
      </c>
      <c r="I79" s="16" t="n">
        <v>27277</v>
      </c>
      <c r="J79" s="16" t="n">
        <v>24153</v>
      </c>
      <c r="K79" s="7"/>
      <c r="L79" s="7"/>
      <c r="M79" s="16" t="n">
        <v>1428060</v>
      </c>
      <c r="N79" s="16" t="n">
        <v>731369</v>
      </c>
      <c r="O79" s="16" t="n">
        <v>398863</v>
      </c>
      <c r="P79" s="16" t="n">
        <v>224348</v>
      </c>
      <c r="Q79" s="16" t="n">
        <v>276171</v>
      </c>
      <c r="R79" s="16" t="n">
        <v>448748</v>
      </c>
      <c r="S79" s="7"/>
      <c r="T79" s="7"/>
      <c r="U79" s="16" t="n">
        <v>6463936</v>
      </c>
      <c r="V79" s="16" t="n">
        <v>3949130</v>
      </c>
      <c r="W79" s="16" t="n">
        <v>2149998</v>
      </c>
      <c r="X79" s="16" t="n">
        <v>1217204</v>
      </c>
      <c r="Y79" s="16" t="n">
        <v>1346594</v>
      </c>
      <c r="Z79" s="16" t="n">
        <v>1826259</v>
      </c>
      <c r="AA79" s="7"/>
      <c r="AB79" s="7"/>
      <c r="AC79" s="16" t="n">
        <v>31970585</v>
      </c>
      <c r="AD79" s="16" t="n">
        <v>16429657</v>
      </c>
      <c r="AE79" s="16" t="n">
        <v>9034923</v>
      </c>
      <c r="AF79" s="16" t="n">
        <v>5335167</v>
      </c>
      <c r="AG79" s="16" t="n">
        <v>5369891</v>
      </c>
      <c r="AH79" s="16" t="n">
        <v>5598147</v>
      </c>
      <c r="AI79" s="8"/>
    </row>
    <row r="80" customFormat="false" ht="16.4" hidden="false" customHeight="false" outlineLevel="0" collapsed="false">
      <c r="B80" s="9"/>
      <c r="C80" s="14"/>
      <c r="D80" s="15" t="s">
        <v>14</v>
      </c>
      <c r="E80" s="16" t="n">
        <v>157662</v>
      </c>
      <c r="F80" s="16" t="n">
        <v>83040</v>
      </c>
      <c r="G80" s="16" t="n">
        <v>44328</v>
      </c>
      <c r="H80" s="16" t="n">
        <v>28916</v>
      </c>
      <c r="I80" s="16" t="n">
        <v>23137</v>
      </c>
      <c r="J80" s="16" t="n">
        <v>23808</v>
      </c>
      <c r="K80" s="7"/>
      <c r="L80" s="7"/>
      <c r="M80" s="16" t="n">
        <v>1408569</v>
      </c>
      <c r="N80" s="16" t="n">
        <v>735637</v>
      </c>
      <c r="O80" s="16" t="n">
        <v>403800</v>
      </c>
      <c r="P80" s="16" t="n">
        <v>225637</v>
      </c>
      <c r="Q80" s="16" t="n">
        <v>293147</v>
      </c>
      <c r="R80" s="16" t="n">
        <v>381013</v>
      </c>
      <c r="S80" s="7"/>
      <c r="T80" s="7"/>
      <c r="U80" s="16" t="n">
        <v>6491979</v>
      </c>
      <c r="V80" s="16" t="n">
        <v>3951664</v>
      </c>
      <c r="W80" s="16" t="n">
        <v>2154353</v>
      </c>
      <c r="X80" s="16" t="n">
        <v>1218074</v>
      </c>
      <c r="Y80" s="16" t="n">
        <v>1339786</v>
      </c>
      <c r="Z80" s="16" t="n">
        <v>1808714</v>
      </c>
      <c r="AA80" s="7"/>
      <c r="AB80" s="7"/>
      <c r="AC80" s="16" t="n">
        <v>31785483</v>
      </c>
      <c r="AD80" s="16" t="n">
        <v>16478860</v>
      </c>
      <c r="AE80" s="16" t="n">
        <v>9040296</v>
      </c>
      <c r="AF80" s="16" t="n">
        <v>5282108</v>
      </c>
      <c r="AG80" s="16" t="n">
        <v>5369064</v>
      </c>
      <c r="AH80" s="16" t="n">
        <v>5520537</v>
      </c>
      <c r="AI80" s="8"/>
    </row>
    <row r="81" customFormat="false" ht="16.4" hidden="false" customHeight="false" outlineLevel="0" collapsed="false">
      <c r="B81" s="9"/>
      <c r="C81" s="14"/>
      <c r="D81" s="15" t="s">
        <v>15</v>
      </c>
      <c r="E81" s="16" t="n">
        <v>159943</v>
      </c>
      <c r="F81" s="16" t="n">
        <v>83126</v>
      </c>
      <c r="G81" s="16" t="n">
        <v>44850</v>
      </c>
      <c r="H81" s="16" t="n">
        <v>31453</v>
      </c>
      <c r="I81" s="16" t="n">
        <v>24419</v>
      </c>
      <c r="J81" s="16" t="n">
        <v>24146</v>
      </c>
      <c r="K81" s="7"/>
      <c r="L81" s="7"/>
      <c r="M81" s="16" t="n">
        <v>1401169</v>
      </c>
      <c r="N81" s="16" t="n">
        <v>741485</v>
      </c>
      <c r="O81" s="16" t="n">
        <v>399942</v>
      </c>
      <c r="P81" s="16" t="n">
        <v>225572</v>
      </c>
      <c r="Q81" s="16" t="n">
        <v>299044</v>
      </c>
      <c r="R81" s="16" t="n">
        <v>382686</v>
      </c>
      <c r="S81" s="7"/>
      <c r="T81" s="7"/>
      <c r="U81" s="16" t="n">
        <v>6593366</v>
      </c>
      <c r="V81" s="16" t="n">
        <v>3935877</v>
      </c>
      <c r="W81" s="16" t="n">
        <v>2151239</v>
      </c>
      <c r="X81" s="16" t="n">
        <v>1221795</v>
      </c>
      <c r="Y81" s="16" t="n">
        <v>1364044</v>
      </c>
      <c r="Z81" s="16" t="n">
        <v>1832874</v>
      </c>
      <c r="AA81" s="7"/>
      <c r="AB81" s="7"/>
      <c r="AC81" s="16" t="n">
        <v>32301549</v>
      </c>
      <c r="AD81" s="16" t="n">
        <v>16551867</v>
      </c>
      <c r="AE81" s="16" t="n">
        <v>9058139</v>
      </c>
      <c r="AF81" s="16" t="n">
        <v>5262854</v>
      </c>
      <c r="AG81" s="16" t="n">
        <v>5474352</v>
      </c>
      <c r="AH81" s="16" t="n">
        <v>5513697</v>
      </c>
      <c r="AI81" s="8"/>
    </row>
    <row r="82" customFormat="false" ht="16.4" hidden="false" customHeight="false" outlineLevel="0" collapsed="false">
      <c r="B82" s="9"/>
      <c r="C82" s="14"/>
      <c r="D82" s="15" t="s">
        <v>16</v>
      </c>
      <c r="E82" s="16" t="n">
        <v>156599</v>
      </c>
      <c r="F82" s="16" t="n">
        <v>82278</v>
      </c>
      <c r="G82" s="16" t="n">
        <v>43360</v>
      </c>
      <c r="H82" s="16" t="n">
        <v>24521</v>
      </c>
      <c r="I82" s="16" t="n">
        <v>25200</v>
      </c>
      <c r="J82" s="16" t="n">
        <v>24131</v>
      </c>
      <c r="K82" s="7"/>
      <c r="L82" s="7"/>
      <c r="M82" s="16" t="n">
        <v>1405023</v>
      </c>
      <c r="N82" s="16" t="n">
        <v>728964</v>
      </c>
      <c r="O82" s="16" t="n">
        <v>410579</v>
      </c>
      <c r="P82" s="16" t="n">
        <v>226092</v>
      </c>
      <c r="Q82" s="16" t="n">
        <v>284865</v>
      </c>
      <c r="R82" s="16" t="n">
        <v>382705</v>
      </c>
      <c r="S82" s="7"/>
      <c r="T82" s="7"/>
      <c r="U82" s="16" t="n">
        <v>6526874</v>
      </c>
      <c r="V82" s="16" t="n">
        <v>3963715</v>
      </c>
      <c r="W82" s="16" t="n">
        <v>2145354</v>
      </c>
      <c r="X82" s="16" t="n">
        <v>1223572</v>
      </c>
      <c r="Y82" s="16" t="n">
        <v>1357964</v>
      </c>
      <c r="Z82" s="16" t="n">
        <v>1850935</v>
      </c>
      <c r="AA82" s="7"/>
      <c r="AB82" s="7"/>
      <c r="AC82" s="16" t="n">
        <v>31877572</v>
      </c>
      <c r="AD82" s="16" t="n">
        <v>16475058</v>
      </c>
      <c r="AE82" s="16" t="n">
        <v>9056207</v>
      </c>
      <c r="AF82" s="16" t="n">
        <v>5315415</v>
      </c>
      <c r="AG82" s="16" t="n">
        <v>5378586</v>
      </c>
      <c r="AH82" s="16" t="n">
        <v>5527109</v>
      </c>
      <c r="AI82" s="8"/>
    </row>
    <row r="83" customFormat="false" ht="16.4" hidden="false" customHeight="false" outlineLevel="0" collapsed="false">
      <c r="B83" s="9"/>
      <c r="C83" s="14"/>
      <c r="D83" s="15" t="s">
        <v>17</v>
      </c>
      <c r="E83" s="16" t="n">
        <v>159385</v>
      </c>
      <c r="F83" s="16" t="n">
        <v>82063</v>
      </c>
      <c r="G83" s="16" t="n">
        <v>45297</v>
      </c>
      <c r="H83" s="16" t="n">
        <v>24888</v>
      </c>
      <c r="I83" s="16" t="n">
        <v>28163</v>
      </c>
      <c r="J83" s="16" t="n">
        <v>25253</v>
      </c>
      <c r="K83" s="7"/>
      <c r="L83" s="7"/>
      <c r="M83" s="16" t="n">
        <v>1434170</v>
      </c>
      <c r="N83" s="16" t="n">
        <v>732629</v>
      </c>
      <c r="O83" s="16" t="n">
        <v>408272</v>
      </c>
      <c r="P83" s="16" t="n">
        <v>226972</v>
      </c>
      <c r="Q83" s="16" t="n">
        <v>294871</v>
      </c>
      <c r="R83" s="16" t="n">
        <v>386558</v>
      </c>
      <c r="S83" s="7"/>
      <c r="T83" s="7"/>
      <c r="U83" s="16" t="n">
        <v>6594016</v>
      </c>
      <c r="V83" s="16" t="n">
        <v>3929276</v>
      </c>
      <c r="W83" s="16" t="n">
        <v>2144248</v>
      </c>
      <c r="X83" s="16" t="n">
        <v>1224560</v>
      </c>
      <c r="Y83" s="16" t="n">
        <v>1356331</v>
      </c>
      <c r="Z83" s="16" t="n">
        <v>1823252</v>
      </c>
      <c r="AA83" s="7"/>
      <c r="AB83" s="7"/>
      <c r="AC83" s="16" t="n">
        <v>31918088</v>
      </c>
      <c r="AD83" s="16" t="n">
        <v>16576190</v>
      </c>
      <c r="AE83" s="16" t="n">
        <v>9069511</v>
      </c>
      <c r="AF83" s="16" t="n">
        <v>5344719</v>
      </c>
      <c r="AG83" s="16" t="n">
        <v>5656643</v>
      </c>
      <c r="AH83" s="16" t="n">
        <v>5496482</v>
      </c>
      <c r="AI83" s="8"/>
    </row>
    <row r="84" customFormat="false" ht="16.4" hidden="false" customHeight="false" outlineLevel="0" collapsed="false">
      <c r="B84" s="9"/>
      <c r="C84" s="14"/>
      <c r="D84" s="15" t="s">
        <v>18</v>
      </c>
      <c r="E84" s="16" t="n">
        <v>160018</v>
      </c>
      <c r="F84" s="16" t="n">
        <v>81920</v>
      </c>
      <c r="G84" s="16" t="n">
        <v>45485</v>
      </c>
      <c r="H84" s="16" t="n">
        <v>26465</v>
      </c>
      <c r="I84" s="16" t="n">
        <v>27059</v>
      </c>
      <c r="J84" s="16" t="n">
        <v>24879</v>
      </c>
      <c r="K84" s="7"/>
      <c r="L84" s="7"/>
      <c r="M84" s="16" t="n">
        <v>1435531</v>
      </c>
      <c r="N84" s="16" t="n">
        <v>733245</v>
      </c>
      <c r="O84" s="16" t="n">
        <v>410132</v>
      </c>
      <c r="P84" s="16" t="n">
        <v>227191</v>
      </c>
      <c r="Q84" s="16" t="n">
        <v>282024</v>
      </c>
      <c r="R84" s="16" t="n">
        <v>382116</v>
      </c>
      <c r="S84" s="7"/>
      <c r="T84" s="7"/>
      <c r="U84" s="16" t="n">
        <v>6588922</v>
      </c>
      <c r="V84" s="16" t="n">
        <v>3926472</v>
      </c>
      <c r="W84" s="16" t="n">
        <v>2149268</v>
      </c>
      <c r="X84" s="16" t="n">
        <v>1226315</v>
      </c>
      <c r="Y84" s="16" t="n">
        <v>1356937</v>
      </c>
      <c r="Z84" s="16" t="n">
        <v>1837983</v>
      </c>
      <c r="AA84" s="7"/>
      <c r="AB84" s="7"/>
      <c r="AC84" s="16" t="n">
        <v>31678974</v>
      </c>
      <c r="AD84" s="16" t="n">
        <v>16625685</v>
      </c>
      <c r="AE84" s="16" t="n">
        <v>9121733</v>
      </c>
      <c r="AF84" s="16" t="n">
        <v>5454600</v>
      </c>
      <c r="AG84" s="16" t="n">
        <v>5620231</v>
      </c>
      <c r="AH84" s="16" t="n">
        <v>5492731</v>
      </c>
      <c r="AI84" s="8"/>
    </row>
    <row r="85" customFormat="false" ht="16.4" hidden="false" customHeight="false" outlineLevel="0" collapsed="false">
      <c r="B85" s="9"/>
      <c r="C85" s="14"/>
      <c r="D85" s="15" t="s">
        <v>19</v>
      </c>
      <c r="E85" s="16" t="n">
        <v>160560</v>
      </c>
      <c r="F85" s="16" t="n">
        <v>82808</v>
      </c>
      <c r="G85" s="16" t="n">
        <v>45092</v>
      </c>
      <c r="H85" s="16" t="n">
        <v>33360</v>
      </c>
      <c r="I85" s="16" t="n">
        <v>28716</v>
      </c>
      <c r="J85" s="16" t="n">
        <v>23584</v>
      </c>
      <c r="K85" s="7"/>
      <c r="L85" s="7"/>
      <c r="M85" s="16" t="n">
        <v>1437123</v>
      </c>
      <c r="N85" s="16" t="n">
        <v>725778</v>
      </c>
      <c r="O85" s="16" t="n">
        <v>409313</v>
      </c>
      <c r="P85" s="16" t="n">
        <v>226660</v>
      </c>
      <c r="Q85" s="16" t="n">
        <v>281234</v>
      </c>
      <c r="R85" s="16" t="n">
        <v>382112</v>
      </c>
      <c r="S85" s="7"/>
      <c r="T85" s="7"/>
      <c r="U85" s="16" t="n">
        <v>6603395</v>
      </c>
      <c r="V85" s="16" t="n">
        <v>3937103</v>
      </c>
      <c r="W85" s="16" t="n">
        <v>2161121</v>
      </c>
      <c r="X85" s="16" t="n">
        <v>1227285</v>
      </c>
      <c r="Y85" s="16" t="n">
        <v>1341966</v>
      </c>
      <c r="Z85" s="16" t="n">
        <v>1846300</v>
      </c>
      <c r="AA85" s="7"/>
      <c r="AB85" s="7"/>
      <c r="AC85" s="16" t="n">
        <v>31490328</v>
      </c>
      <c r="AD85" s="16" t="n">
        <v>16534033</v>
      </c>
      <c r="AE85" s="16" t="n">
        <v>9147526</v>
      </c>
      <c r="AF85" s="16" t="n">
        <v>5328413</v>
      </c>
      <c r="AG85" s="16" t="n">
        <v>5283127</v>
      </c>
      <c r="AH85" s="16" t="n">
        <v>5495512</v>
      </c>
      <c r="AI85" s="8"/>
    </row>
    <row r="86" customFormat="false" ht="16.4" hidden="false" customHeight="false" outlineLevel="0" collapsed="false">
      <c r="B86" s="9"/>
      <c r="C86" s="14"/>
      <c r="D86" s="15" t="s">
        <v>20</v>
      </c>
      <c r="E86" s="16" t="n">
        <v>160162</v>
      </c>
      <c r="F86" s="16" t="n">
        <v>82730</v>
      </c>
      <c r="G86" s="16" t="n">
        <v>44708</v>
      </c>
      <c r="H86" s="16" t="n">
        <v>26577</v>
      </c>
      <c r="I86" s="16" t="n">
        <v>27021</v>
      </c>
      <c r="J86" s="16" t="n">
        <v>24084</v>
      </c>
      <c r="K86" s="7"/>
      <c r="L86" s="7"/>
      <c r="M86" s="16" t="n">
        <v>1433929</v>
      </c>
      <c r="N86" s="16" t="n">
        <v>734205</v>
      </c>
      <c r="O86" s="16" t="n">
        <v>406581</v>
      </c>
      <c r="P86" s="16" t="n">
        <v>227938</v>
      </c>
      <c r="Q86" s="16" t="n">
        <v>314421</v>
      </c>
      <c r="R86" s="16" t="n">
        <v>384542</v>
      </c>
      <c r="S86" s="7"/>
      <c r="T86" s="7"/>
      <c r="U86" s="16" t="n">
        <v>6573754</v>
      </c>
      <c r="V86" s="16" t="n">
        <v>3947400</v>
      </c>
      <c r="W86" s="16" t="n">
        <v>2158600</v>
      </c>
      <c r="X86" s="16" t="n">
        <v>1230073</v>
      </c>
      <c r="Y86" s="16" t="n">
        <v>1367318</v>
      </c>
      <c r="Z86" s="16" t="n">
        <v>1826270</v>
      </c>
      <c r="AA86" s="7"/>
      <c r="AB86" s="7"/>
      <c r="AC86" s="16" t="n">
        <v>31508705</v>
      </c>
      <c r="AD86" s="16" t="n">
        <v>16481958</v>
      </c>
      <c r="AE86" s="16" t="n">
        <v>9102135</v>
      </c>
      <c r="AF86" s="16" t="n">
        <v>5298057</v>
      </c>
      <c r="AG86" s="16" t="n">
        <v>5391832</v>
      </c>
      <c r="AH86" s="16" t="n">
        <v>5557294</v>
      </c>
      <c r="AI86" s="8"/>
    </row>
    <row r="87" customFormat="false" ht="16.4" hidden="false" customHeight="false" outlineLevel="0" collapsed="false">
      <c r="B87" s="9"/>
      <c r="C87" s="14"/>
      <c r="D87" s="15" t="s">
        <v>21</v>
      </c>
      <c r="E87" s="16" t="n">
        <v>159900</v>
      </c>
      <c r="F87" s="16" t="n">
        <v>82871</v>
      </c>
      <c r="G87" s="16" t="n">
        <v>44761</v>
      </c>
      <c r="H87" s="16" t="n">
        <v>24969</v>
      </c>
      <c r="I87" s="16" t="n">
        <v>26788</v>
      </c>
      <c r="J87" s="16" t="n">
        <v>23135</v>
      </c>
      <c r="K87" s="7"/>
      <c r="L87" s="7"/>
      <c r="M87" s="16" t="n">
        <v>1474125</v>
      </c>
      <c r="N87" s="16" t="n">
        <v>740954</v>
      </c>
      <c r="O87" s="16" t="n">
        <v>415927</v>
      </c>
      <c r="P87" s="16" t="n">
        <v>226788</v>
      </c>
      <c r="Q87" s="16" t="n">
        <v>287685</v>
      </c>
      <c r="R87" s="16" t="n">
        <v>382453</v>
      </c>
      <c r="S87" s="7"/>
      <c r="T87" s="7"/>
      <c r="U87" s="16" t="n">
        <v>6546223</v>
      </c>
      <c r="V87" s="16" t="n">
        <v>3948131</v>
      </c>
      <c r="W87" s="16" t="n">
        <v>2160407</v>
      </c>
      <c r="X87" s="16" t="n">
        <v>1229806</v>
      </c>
      <c r="Y87" s="16" t="n">
        <v>1363601</v>
      </c>
      <c r="Z87" s="16" t="n">
        <v>1830148</v>
      </c>
      <c r="AA87" s="7"/>
      <c r="AB87" s="7"/>
      <c r="AC87" s="16" t="n">
        <v>31929507</v>
      </c>
      <c r="AD87" s="16" t="n">
        <v>16580537</v>
      </c>
      <c r="AE87" s="16" t="n">
        <v>9138978</v>
      </c>
      <c r="AF87" s="16" t="n">
        <v>5374443</v>
      </c>
      <c r="AG87" s="16" t="n">
        <v>5780257</v>
      </c>
      <c r="AH87" s="16" t="n">
        <v>5472122</v>
      </c>
      <c r="AI87" s="8"/>
    </row>
    <row r="88" customFormat="false" ht="16.4" hidden="false" customHeight="false" outlineLevel="0" collapsed="false">
      <c r="B88" s="9"/>
      <c r="C88" s="14"/>
      <c r="D88" s="15" t="s">
        <v>22</v>
      </c>
      <c r="E88" s="16" t="n">
        <v>159970</v>
      </c>
      <c r="F88" s="16" t="n">
        <v>82653</v>
      </c>
      <c r="G88" s="16" t="n">
        <v>45104</v>
      </c>
      <c r="H88" s="16" t="n">
        <v>26130</v>
      </c>
      <c r="I88" s="16" t="n">
        <v>25389</v>
      </c>
      <c r="J88" s="16" t="n">
        <v>24553</v>
      </c>
      <c r="K88" s="7"/>
      <c r="L88" s="7"/>
      <c r="M88" s="16" t="n">
        <v>1425489</v>
      </c>
      <c r="N88" s="16" t="n">
        <v>739365</v>
      </c>
      <c r="O88" s="16" t="n">
        <v>410105</v>
      </c>
      <c r="P88" s="16" t="n">
        <v>226785</v>
      </c>
      <c r="Q88" s="16" t="n">
        <v>302247</v>
      </c>
      <c r="R88" s="16" t="n">
        <v>389168</v>
      </c>
      <c r="S88" s="7"/>
      <c r="T88" s="7"/>
      <c r="U88" s="16" t="n">
        <v>6533447</v>
      </c>
      <c r="V88" s="16" t="n">
        <v>3961020</v>
      </c>
      <c r="W88" s="16" t="n">
        <v>2161952</v>
      </c>
      <c r="X88" s="16" t="n">
        <v>1233453</v>
      </c>
      <c r="Y88" s="16" t="n">
        <v>1498947</v>
      </c>
      <c r="Z88" s="16" t="n">
        <v>1836285</v>
      </c>
      <c r="AA88" s="7"/>
      <c r="AB88" s="7"/>
      <c r="AC88" s="16" t="n">
        <v>31881003</v>
      </c>
      <c r="AD88" s="16" t="n">
        <v>16486053</v>
      </c>
      <c r="AE88" s="16" t="n">
        <v>9102483</v>
      </c>
      <c r="AF88" s="16" t="n">
        <v>5432160</v>
      </c>
      <c r="AG88" s="16" t="n">
        <v>5309193</v>
      </c>
      <c r="AH88" s="16" t="n">
        <v>5469249</v>
      </c>
      <c r="AI88" s="8"/>
    </row>
    <row r="89" customFormat="false" ht="16.4" hidden="false" customHeight="false" outlineLevel="0" collapsed="false">
      <c r="B89" s="9"/>
      <c r="C89" s="14"/>
      <c r="D89" s="15" t="s">
        <v>23</v>
      </c>
      <c r="E89" s="16" t="n">
        <v>156690</v>
      </c>
      <c r="F89" s="16" t="n">
        <v>82261</v>
      </c>
      <c r="G89" s="16" t="n">
        <v>45169</v>
      </c>
      <c r="H89" s="16" t="n">
        <v>24404</v>
      </c>
      <c r="I89" s="16" t="n">
        <v>26647</v>
      </c>
      <c r="J89" s="16" t="n">
        <v>24186</v>
      </c>
      <c r="K89" s="7"/>
      <c r="L89" s="7"/>
      <c r="M89" s="16" t="n">
        <v>1430849</v>
      </c>
      <c r="N89" s="16" t="n">
        <v>744248</v>
      </c>
      <c r="O89" s="16" t="n">
        <v>412116</v>
      </c>
      <c r="P89" s="16" t="n">
        <v>226834</v>
      </c>
      <c r="Q89" s="16" t="n">
        <v>276256</v>
      </c>
      <c r="R89" s="16" t="n">
        <v>389053</v>
      </c>
      <c r="S89" s="7"/>
      <c r="T89" s="7"/>
      <c r="U89" s="16" t="n">
        <v>6513239</v>
      </c>
      <c r="V89" s="16" t="n">
        <v>3981095</v>
      </c>
      <c r="W89" s="16" t="n">
        <v>2173431</v>
      </c>
      <c r="X89" s="16" t="n">
        <v>1238175</v>
      </c>
      <c r="Y89" s="16" t="n">
        <v>1342411</v>
      </c>
      <c r="Z89" s="16" t="n">
        <v>1818414</v>
      </c>
      <c r="AA89" s="7"/>
      <c r="AB89" s="7"/>
      <c r="AC89" s="16" t="n">
        <v>31980777</v>
      </c>
      <c r="AD89" s="16" t="n">
        <v>16476188</v>
      </c>
      <c r="AE89" s="16" t="n">
        <v>9072714</v>
      </c>
      <c r="AF89" s="16" t="n">
        <v>5413034</v>
      </c>
      <c r="AG89" s="16" t="n">
        <v>5685256</v>
      </c>
      <c r="AH89" s="16" t="n">
        <v>5476276</v>
      </c>
      <c r="AI89" s="8"/>
    </row>
    <row r="90" customFormat="false" ht="16.4" hidden="false" customHeight="false" outlineLevel="0" collapsed="false">
      <c r="B90" s="9"/>
      <c r="C90" s="14"/>
      <c r="D90" s="15" t="s">
        <v>24</v>
      </c>
      <c r="E90" s="16" t="n">
        <v>159486</v>
      </c>
      <c r="F90" s="16" t="n">
        <v>81774</v>
      </c>
      <c r="G90" s="16" t="n">
        <v>44802</v>
      </c>
      <c r="H90" s="16" t="n">
        <v>29359</v>
      </c>
      <c r="I90" s="16" t="n">
        <v>27892</v>
      </c>
      <c r="J90" s="16" t="n">
        <v>24129</v>
      </c>
      <c r="K90" s="7"/>
      <c r="L90" s="7"/>
      <c r="M90" s="16" t="n">
        <v>1413981</v>
      </c>
      <c r="N90" s="16" t="n">
        <v>736548</v>
      </c>
      <c r="O90" s="16" t="n">
        <v>405444</v>
      </c>
      <c r="P90" s="16" t="n">
        <v>229522</v>
      </c>
      <c r="Q90" s="16" t="n">
        <v>280589</v>
      </c>
      <c r="R90" s="16" t="n">
        <v>389006</v>
      </c>
      <c r="S90" s="7"/>
      <c r="T90" s="7"/>
      <c r="U90" s="16" t="n">
        <v>6496301</v>
      </c>
      <c r="V90" s="16" t="n">
        <v>3977910</v>
      </c>
      <c r="W90" s="16" t="n">
        <v>2171435</v>
      </c>
      <c r="X90" s="16" t="n">
        <v>1237865</v>
      </c>
      <c r="Y90" s="16" t="n">
        <v>1493975</v>
      </c>
      <c r="Z90" s="16" t="n">
        <v>1818211</v>
      </c>
      <c r="AA90" s="7"/>
      <c r="AB90" s="7"/>
      <c r="AC90" s="16" t="n">
        <v>31915681</v>
      </c>
      <c r="AD90" s="16" t="n">
        <v>16556321</v>
      </c>
      <c r="AE90" s="16" t="n">
        <v>9141814</v>
      </c>
      <c r="AF90" s="16" t="n">
        <v>5367451</v>
      </c>
      <c r="AG90" s="16" t="n">
        <v>5395375</v>
      </c>
      <c r="AH90" s="16" t="n">
        <v>5545047</v>
      </c>
      <c r="AI90" s="8"/>
    </row>
    <row r="91" customFormat="false" ht="16.4" hidden="false" customHeight="false" outlineLevel="0" collapsed="false">
      <c r="B91" s="9"/>
      <c r="C91" s="14"/>
      <c r="D91" s="15" t="s">
        <v>25</v>
      </c>
      <c r="E91" s="16" t="n">
        <v>160250</v>
      </c>
      <c r="F91" s="16" t="n">
        <v>81781</v>
      </c>
      <c r="G91" s="16" t="n">
        <v>44757</v>
      </c>
      <c r="H91" s="16" t="n">
        <v>24541</v>
      </c>
      <c r="I91" s="16" t="n">
        <v>27777</v>
      </c>
      <c r="J91" s="16" t="n">
        <v>23765</v>
      </c>
      <c r="K91" s="7"/>
      <c r="L91" s="7"/>
      <c r="M91" s="16" t="n">
        <v>1413177</v>
      </c>
      <c r="N91" s="16" t="n">
        <v>738043</v>
      </c>
      <c r="O91" s="16" t="n">
        <v>408365</v>
      </c>
      <c r="P91" s="16" t="n">
        <v>227124</v>
      </c>
      <c r="Q91" s="16" t="n">
        <v>305097</v>
      </c>
      <c r="R91" s="16" t="n">
        <v>383262</v>
      </c>
      <c r="S91" s="7"/>
      <c r="T91" s="7"/>
      <c r="U91" s="16" t="n">
        <v>6530921</v>
      </c>
      <c r="V91" s="16" t="n">
        <v>3984096</v>
      </c>
      <c r="W91" s="16" t="n">
        <v>2161408</v>
      </c>
      <c r="X91" s="16" t="n">
        <v>1236412</v>
      </c>
      <c r="Y91" s="16" t="n">
        <v>1341011</v>
      </c>
      <c r="Z91" s="16" t="n">
        <v>1810693</v>
      </c>
      <c r="AA91" s="7"/>
      <c r="AB91" s="7"/>
      <c r="AC91" s="16" t="n">
        <v>31925686</v>
      </c>
      <c r="AD91" s="16" t="n">
        <v>16518659</v>
      </c>
      <c r="AE91" s="16" t="n">
        <v>9101043</v>
      </c>
      <c r="AF91" s="16" t="n">
        <v>5410093</v>
      </c>
      <c r="AG91" s="16" t="n">
        <v>5279768</v>
      </c>
      <c r="AH91" s="16" t="n">
        <v>5512351</v>
      </c>
      <c r="AI91" s="8"/>
    </row>
    <row r="92" customFormat="false" ht="16.4" hidden="false" customHeight="false" outlineLevel="0" collapsed="false">
      <c r="B92" s="9"/>
      <c r="C92" s="14"/>
      <c r="D92" s="15" t="s">
        <v>26</v>
      </c>
      <c r="E92" s="16" t="n">
        <v>164180</v>
      </c>
      <c r="F92" s="16" t="n">
        <v>82231</v>
      </c>
      <c r="G92" s="16" t="n">
        <v>45389</v>
      </c>
      <c r="H92" s="16" t="n">
        <v>24959</v>
      </c>
      <c r="I92" s="16" t="n">
        <v>24648</v>
      </c>
      <c r="J92" s="16" t="n">
        <v>23959</v>
      </c>
      <c r="K92" s="7"/>
      <c r="L92" s="7"/>
      <c r="M92" s="16" t="n">
        <v>1418725</v>
      </c>
      <c r="N92" s="16" t="n">
        <v>738744</v>
      </c>
      <c r="O92" s="16" t="n">
        <v>409205</v>
      </c>
      <c r="P92" s="16" t="n">
        <v>228871</v>
      </c>
      <c r="Q92" s="16" t="n">
        <v>313416</v>
      </c>
      <c r="R92" s="16" t="n">
        <v>388071</v>
      </c>
      <c r="S92" s="7"/>
      <c r="T92" s="7"/>
      <c r="U92" s="16" t="n">
        <v>6531651</v>
      </c>
      <c r="V92" s="16" t="n">
        <v>3988431</v>
      </c>
      <c r="W92" s="16" t="n">
        <v>2161719</v>
      </c>
      <c r="X92" s="16" t="n">
        <v>1238313</v>
      </c>
      <c r="Y92" s="16" t="n">
        <v>1353071</v>
      </c>
      <c r="Z92" s="16" t="n">
        <v>1834029</v>
      </c>
      <c r="AA92" s="7"/>
      <c r="AB92" s="7"/>
      <c r="AC92" s="16" t="n">
        <v>31977714</v>
      </c>
      <c r="AD92" s="16" t="n">
        <v>16475554</v>
      </c>
      <c r="AE92" s="16" t="n">
        <v>9235368</v>
      </c>
      <c r="AF92" s="16" t="n">
        <v>5419247</v>
      </c>
      <c r="AG92" s="16" t="n">
        <v>5357792</v>
      </c>
      <c r="AH92" s="16" t="n">
        <v>5492213</v>
      </c>
      <c r="AI92" s="8"/>
    </row>
    <row r="93" customFormat="false" ht="16.4" hidden="false" customHeight="false" outlineLevel="0" collapsed="false">
      <c r="B93" s="9"/>
      <c r="C93" s="14"/>
      <c r="D93" s="15" t="s">
        <v>27</v>
      </c>
      <c r="E93" s="16" t="n">
        <v>157992</v>
      </c>
      <c r="F93" s="16" t="n">
        <v>82342</v>
      </c>
      <c r="G93" s="16" t="n">
        <v>45851</v>
      </c>
      <c r="H93" s="16" t="n">
        <v>25465</v>
      </c>
      <c r="I93" s="16" t="n">
        <v>25969</v>
      </c>
      <c r="J93" s="16" t="n">
        <v>23804</v>
      </c>
      <c r="K93" s="7"/>
      <c r="L93" s="7"/>
      <c r="M93" s="16" t="n">
        <v>1452426</v>
      </c>
      <c r="N93" s="16" t="n">
        <v>743457</v>
      </c>
      <c r="O93" s="16" t="n">
        <v>408572</v>
      </c>
      <c r="P93" s="16" t="n">
        <v>229238</v>
      </c>
      <c r="Q93" s="16" t="n">
        <v>285691</v>
      </c>
      <c r="R93" s="16" t="n">
        <v>388389</v>
      </c>
      <c r="S93" s="7"/>
      <c r="T93" s="7"/>
      <c r="U93" s="16" t="n">
        <v>6532712</v>
      </c>
      <c r="V93" s="16" t="n">
        <v>3984967</v>
      </c>
      <c r="W93" s="16" t="n">
        <v>2165060</v>
      </c>
      <c r="X93" s="16" t="n">
        <v>1241046</v>
      </c>
      <c r="Y93" s="16" t="n">
        <v>1353643</v>
      </c>
      <c r="Z93" s="16" t="n">
        <v>1819003</v>
      </c>
      <c r="AA93" s="7"/>
      <c r="AB93" s="7"/>
      <c r="AC93" s="16" t="n">
        <v>31862448</v>
      </c>
      <c r="AD93" s="16" t="n">
        <v>16580165</v>
      </c>
      <c r="AE93" s="16" t="n">
        <v>9284326</v>
      </c>
      <c r="AF93" s="16" t="n">
        <v>5489646</v>
      </c>
      <c r="AG93" s="16" t="n">
        <v>5335216</v>
      </c>
      <c r="AH93" s="16" t="n">
        <v>5650645</v>
      </c>
      <c r="AI93" s="8"/>
    </row>
    <row r="94" customFormat="false" ht="16.4" hidden="false" customHeight="false" outlineLevel="0" collapsed="false">
      <c r="B94" s="9"/>
      <c r="C94" s="14"/>
      <c r="D94" s="15" t="s">
        <v>28</v>
      </c>
      <c r="E94" s="16" t="n">
        <v>160127</v>
      </c>
      <c r="F94" s="16" t="n">
        <v>82305</v>
      </c>
      <c r="G94" s="16" t="n">
        <v>47214</v>
      </c>
      <c r="H94" s="16" t="n">
        <v>25192</v>
      </c>
      <c r="I94" s="16" t="n">
        <v>25616</v>
      </c>
      <c r="J94" s="16" t="n">
        <v>22883</v>
      </c>
      <c r="K94" s="7"/>
      <c r="L94" s="7"/>
      <c r="M94" s="16" t="n">
        <v>1442071</v>
      </c>
      <c r="N94" s="16" t="n">
        <v>747012</v>
      </c>
      <c r="O94" s="16" t="n">
        <v>410059</v>
      </c>
      <c r="P94" s="16" t="n">
        <v>228534</v>
      </c>
      <c r="Q94" s="16" t="n">
        <v>305181</v>
      </c>
      <c r="R94" s="16" t="n">
        <v>383538</v>
      </c>
      <c r="S94" s="7"/>
      <c r="T94" s="7"/>
      <c r="U94" s="16" t="n">
        <v>6515446</v>
      </c>
      <c r="V94" s="16" t="n">
        <v>4002135</v>
      </c>
      <c r="W94" s="16" t="n">
        <v>2169819</v>
      </c>
      <c r="X94" s="16" t="n">
        <v>1239300</v>
      </c>
      <c r="Y94" s="16" t="n">
        <v>1326378</v>
      </c>
      <c r="Z94" s="16" t="n">
        <v>1819468</v>
      </c>
      <c r="AA94" s="7"/>
      <c r="AB94" s="7"/>
      <c r="AC94" s="16" t="n">
        <v>32043291</v>
      </c>
      <c r="AD94" s="16" t="n">
        <v>16501780</v>
      </c>
      <c r="AE94" s="16" t="n">
        <v>9247400</v>
      </c>
      <c r="AF94" s="16" t="n">
        <v>5390345</v>
      </c>
      <c r="AG94" s="16" t="n">
        <v>5342934</v>
      </c>
      <c r="AH94" s="16" t="n">
        <v>5484336</v>
      </c>
      <c r="AI94" s="8"/>
    </row>
    <row r="95" customFormat="false" ht="16.4" hidden="false" customHeight="false" outlineLevel="0" collapsed="false">
      <c r="B95" s="9"/>
      <c r="C95" s="14"/>
      <c r="D95" s="15" t="s">
        <v>29</v>
      </c>
      <c r="E95" s="16" t="n">
        <v>158039</v>
      </c>
      <c r="F95" s="16" t="n">
        <v>82677</v>
      </c>
      <c r="G95" s="16" t="n">
        <v>46887</v>
      </c>
      <c r="H95" s="16" t="n">
        <v>26993</v>
      </c>
      <c r="I95" s="16" t="n">
        <v>27946</v>
      </c>
      <c r="J95" s="16" t="n">
        <v>23494</v>
      </c>
      <c r="K95" s="7"/>
      <c r="L95" s="7"/>
      <c r="M95" s="16" t="n">
        <v>1445257</v>
      </c>
      <c r="N95" s="16" t="n">
        <v>744426</v>
      </c>
      <c r="O95" s="16" t="n">
        <v>408064</v>
      </c>
      <c r="P95" s="16" t="n">
        <v>229139</v>
      </c>
      <c r="Q95" s="16" t="n">
        <v>272899</v>
      </c>
      <c r="R95" s="16" t="n">
        <v>384954</v>
      </c>
      <c r="S95" s="7"/>
      <c r="T95" s="7"/>
      <c r="U95" s="16" t="n">
        <v>6557634</v>
      </c>
      <c r="V95" s="16" t="n">
        <v>3986025</v>
      </c>
      <c r="W95" s="16" t="n">
        <v>2165309</v>
      </c>
      <c r="X95" s="16" t="n">
        <v>1241490</v>
      </c>
      <c r="Y95" s="16" t="n">
        <v>1345353</v>
      </c>
      <c r="Z95" s="16" t="n">
        <v>1825128</v>
      </c>
      <c r="AA95" s="7"/>
      <c r="AB95" s="7"/>
      <c r="AC95" s="16" t="n">
        <v>32036071</v>
      </c>
      <c r="AD95" s="16" t="n">
        <v>16498670</v>
      </c>
      <c r="AE95" s="16" t="n">
        <v>9253272</v>
      </c>
      <c r="AF95" s="16" t="n">
        <v>5482689</v>
      </c>
      <c r="AG95" s="16" t="n">
        <v>5522419</v>
      </c>
      <c r="AH95" s="16" t="n">
        <v>5491515</v>
      </c>
      <c r="AI95" s="8"/>
    </row>
    <row r="96" customFormat="false" ht="16.4" hidden="false" customHeight="false" outlineLevel="0" collapsed="false">
      <c r="B96" s="9"/>
      <c r="C96" s="14"/>
      <c r="D96" s="15" t="s">
        <v>30</v>
      </c>
      <c r="E96" s="16" t="n">
        <v>160067</v>
      </c>
      <c r="F96" s="16" t="n">
        <v>82000</v>
      </c>
      <c r="G96" s="16" t="n">
        <v>44926</v>
      </c>
      <c r="H96" s="16" t="n">
        <v>29424</v>
      </c>
      <c r="I96" s="16" t="n">
        <v>25250</v>
      </c>
      <c r="J96" s="16" t="n">
        <v>23944</v>
      </c>
      <c r="K96" s="7"/>
      <c r="L96" s="7"/>
      <c r="M96" s="16" t="n">
        <v>1429272</v>
      </c>
      <c r="N96" s="16" t="n">
        <v>736461</v>
      </c>
      <c r="O96" s="16" t="n">
        <v>406981</v>
      </c>
      <c r="P96" s="16" t="n">
        <v>228926</v>
      </c>
      <c r="Q96" s="16" t="n">
        <v>291662</v>
      </c>
      <c r="R96" s="16" t="n">
        <v>396088</v>
      </c>
      <c r="S96" s="7"/>
      <c r="T96" s="7"/>
      <c r="U96" s="16" t="n">
        <v>6599698</v>
      </c>
      <c r="V96" s="16" t="n">
        <v>3982208</v>
      </c>
      <c r="W96" s="16" t="n">
        <v>2163079</v>
      </c>
      <c r="X96" s="16" t="n">
        <v>1240633</v>
      </c>
      <c r="Y96" s="16" t="n">
        <v>1357558</v>
      </c>
      <c r="Z96" s="16" t="n">
        <v>1820395</v>
      </c>
      <c r="AA96" s="7"/>
      <c r="AB96" s="7"/>
      <c r="AC96" s="16" t="n">
        <v>31912101</v>
      </c>
      <c r="AD96" s="16" t="n">
        <v>16473116</v>
      </c>
      <c r="AE96" s="16" t="n">
        <v>9205626</v>
      </c>
      <c r="AF96" s="16" t="n">
        <v>5424538</v>
      </c>
      <c r="AG96" s="16" t="n">
        <v>5373047</v>
      </c>
      <c r="AH96" s="16" t="n">
        <v>5571506</v>
      </c>
      <c r="AI96" s="8"/>
    </row>
    <row r="97" customFormat="false" ht="16.4" hidden="false" customHeight="false" outlineLevel="0" collapsed="false">
      <c r="B97" s="9"/>
      <c r="C97" s="14"/>
      <c r="D97" s="15" t="s">
        <v>31</v>
      </c>
      <c r="E97" s="16" t="n">
        <v>160405</v>
      </c>
      <c r="F97" s="16" t="n">
        <v>83077</v>
      </c>
      <c r="G97" s="16" t="n">
        <v>46439</v>
      </c>
      <c r="H97" s="16" t="n">
        <v>24422</v>
      </c>
      <c r="I97" s="16" t="n">
        <v>25417</v>
      </c>
      <c r="J97" s="16" t="n">
        <v>23063</v>
      </c>
      <c r="K97" s="7"/>
      <c r="L97" s="7"/>
      <c r="M97" s="16" t="n">
        <v>1443814</v>
      </c>
      <c r="N97" s="16" t="n">
        <v>744654</v>
      </c>
      <c r="O97" s="16" t="n">
        <v>411137</v>
      </c>
      <c r="P97" s="16" t="n">
        <v>229679</v>
      </c>
      <c r="Q97" s="16" t="n">
        <v>283590</v>
      </c>
      <c r="R97" s="16" t="n">
        <v>382759</v>
      </c>
      <c r="S97" s="7"/>
      <c r="T97" s="7"/>
      <c r="U97" s="16" t="n">
        <v>6593012</v>
      </c>
      <c r="V97" s="16" t="n">
        <v>3985672</v>
      </c>
      <c r="W97" s="16" t="n">
        <v>2194134</v>
      </c>
      <c r="X97" s="16" t="n">
        <v>1248267</v>
      </c>
      <c r="Y97" s="16" t="n">
        <v>1511041</v>
      </c>
      <c r="Z97" s="16" t="n">
        <v>1821280</v>
      </c>
      <c r="AA97" s="7"/>
      <c r="AB97" s="7"/>
      <c r="AC97" s="16" t="n">
        <v>32013794</v>
      </c>
      <c r="AD97" s="16" t="n">
        <v>16469342</v>
      </c>
      <c r="AE97" s="16" t="n">
        <v>9132218</v>
      </c>
      <c r="AF97" s="16" t="n">
        <v>5450349</v>
      </c>
      <c r="AG97" s="16" t="n">
        <v>5347790</v>
      </c>
      <c r="AH97" s="16" t="n">
        <v>5485698</v>
      </c>
      <c r="AI97" s="8"/>
    </row>
    <row r="98" customFormat="false" ht="16.4" hidden="false" customHeight="false" outlineLevel="0" collapsed="false">
      <c r="B98" s="9"/>
      <c r="C98" s="14"/>
      <c r="D98" s="15" t="s">
        <v>32</v>
      </c>
      <c r="E98" s="16" t="n">
        <v>157247</v>
      </c>
      <c r="F98" s="16" t="n">
        <v>82070</v>
      </c>
      <c r="G98" s="16" t="n">
        <v>44179</v>
      </c>
      <c r="H98" s="16" t="n">
        <v>25771</v>
      </c>
      <c r="I98" s="16" t="n">
        <v>26537</v>
      </c>
      <c r="J98" s="16" t="n">
        <v>22684</v>
      </c>
      <c r="K98" s="7"/>
      <c r="L98" s="7"/>
      <c r="M98" s="16" t="n">
        <v>1430619</v>
      </c>
      <c r="N98" s="16" t="n">
        <v>738604</v>
      </c>
      <c r="O98" s="16" t="n">
        <v>410806</v>
      </c>
      <c r="P98" s="16" t="n">
        <v>228763</v>
      </c>
      <c r="Q98" s="16" t="n">
        <v>278551</v>
      </c>
      <c r="R98" s="16" t="n">
        <v>386252</v>
      </c>
      <c r="S98" s="7"/>
      <c r="T98" s="7"/>
      <c r="U98" s="16" t="n">
        <v>6642467</v>
      </c>
      <c r="V98" s="16" t="n">
        <v>3993080</v>
      </c>
      <c r="W98" s="16" t="n">
        <v>2168735</v>
      </c>
      <c r="X98" s="16" t="n">
        <v>1266152</v>
      </c>
      <c r="Y98" s="16" t="n">
        <v>1345963</v>
      </c>
      <c r="Z98" s="16" t="n">
        <v>1824058</v>
      </c>
      <c r="AA98" s="7"/>
      <c r="AB98" s="7"/>
      <c r="AC98" s="16" t="n">
        <v>31901859</v>
      </c>
      <c r="AD98" s="16" t="n">
        <v>16476530</v>
      </c>
      <c r="AE98" s="16" t="n">
        <v>9112267</v>
      </c>
      <c r="AF98" s="16" t="n">
        <v>5474791</v>
      </c>
      <c r="AG98" s="16" t="n">
        <v>5656174</v>
      </c>
      <c r="AH98" s="16" t="n">
        <v>5532814</v>
      </c>
      <c r="AI98" s="8"/>
    </row>
    <row r="99" customFormat="false" ht="16.4" hidden="false" customHeight="false" outlineLevel="0" collapsed="false">
      <c r="B99" s="9"/>
      <c r="C99" s="14"/>
      <c r="D99" s="15" t="s">
        <v>33</v>
      </c>
      <c r="E99" s="16" t="n">
        <v>157421</v>
      </c>
      <c r="F99" s="16" t="n">
        <v>82484</v>
      </c>
      <c r="G99" s="16" t="n">
        <v>46090</v>
      </c>
      <c r="H99" s="16" t="n">
        <v>24618</v>
      </c>
      <c r="I99" s="16" t="n">
        <v>26948</v>
      </c>
      <c r="J99" s="16" t="n">
        <v>25019</v>
      </c>
      <c r="K99" s="7"/>
      <c r="L99" s="7"/>
      <c r="M99" s="16" t="n">
        <v>1413302</v>
      </c>
      <c r="N99" s="16" t="n">
        <v>738287</v>
      </c>
      <c r="O99" s="16" t="n">
        <v>415715</v>
      </c>
      <c r="P99" s="16" t="n">
        <v>230964</v>
      </c>
      <c r="Q99" s="16" t="n">
        <v>326628</v>
      </c>
      <c r="R99" s="16" t="n">
        <v>385252</v>
      </c>
      <c r="S99" s="7"/>
      <c r="T99" s="7"/>
      <c r="U99" s="16" t="n">
        <v>6641281</v>
      </c>
      <c r="V99" s="16" t="n">
        <v>3999942</v>
      </c>
      <c r="W99" s="16" t="n">
        <v>2178194</v>
      </c>
      <c r="X99" s="16" t="n">
        <v>1242418</v>
      </c>
      <c r="Y99" s="16" t="n">
        <v>1385041</v>
      </c>
      <c r="Z99" s="16" t="n">
        <v>1835411</v>
      </c>
      <c r="AA99" s="7"/>
      <c r="AB99" s="7"/>
      <c r="AC99" s="16" t="n">
        <v>31921067</v>
      </c>
      <c r="AD99" s="16" t="n">
        <v>16549841</v>
      </c>
      <c r="AE99" s="16" t="n">
        <v>9141979</v>
      </c>
      <c r="AF99" s="16" t="n">
        <v>5466568</v>
      </c>
      <c r="AG99" s="16" t="n">
        <v>5440875</v>
      </c>
      <c r="AH99" s="16" t="n">
        <v>5521514</v>
      </c>
      <c r="AI99" s="8"/>
    </row>
    <row r="100" customFormat="false" ht="16.4" hidden="false" customHeight="false" outlineLevel="0" collapsed="false">
      <c r="B100" s="9"/>
      <c r="C100" s="14"/>
      <c r="D100" s="15" t="s">
        <v>34</v>
      </c>
      <c r="E100" s="16" t="n">
        <v>159337</v>
      </c>
      <c r="F100" s="16" t="n">
        <v>82592</v>
      </c>
      <c r="G100" s="16" t="n">
        <v>47568</v>
      </c>
      <c r="H100" s="16" t="n">
        <v>24397</v>
      </c>
      <c r="I100" s="16" t="n">
        <v>27702</v>
      </c>
      <c r="J100" s="16" t="n">
        <v>22861</v>
      </c>
      <c r="K100" s="7"/>
      <c r="L100" s="7"/>
      <c r="M100" s="16" t="n">
        <v>1424312</v>
      </c>
      <c r="N100" s="16" t="n">
        <v>737402</v>
      </c>
      <c r="O100" s="16" t="n">
        <v>410013</v>
      </c>
      <c r="P100" s="16" t="n">
        <v>232389</v>
      </c>
      <c r="Q100" s="16" t="n">
        <v>274373</v>
      </c>
      <c r="R100" s="16" t="n">
        <v>386138</v>
      </c>
      <c r="S100" s="7"/>
      <c r="T100" s="7"/>
      <c r="U100" s="16" t="n">
        <v>6618985</v>
      </c>
      <c r="V100" s="16" t="n">
        <v>4003720</v>
      </c>
      <c r="W100" s="16" t="n">
        <v>2174880</v>
      </c>
      <c r="X100" s="16" t="n">
        <v>1245506</v>
      </c>
      <c r="Y100" s="16" t="n">
        <v>1348004</v>
      </c>
      <c r="Z100" s="16" t="n">
        <v>1840795</v>
      </c>
      <c r="AA100" s="7"/>
      <c r="AB100" s="7"/>
      <c r="AC100" s="16" t="n">
        <v>31663337</v>
      </c>
      <c r="AD100" s="16" t="n">
        <v>16562483</v>
      </c>
      <c r="AE100" s="16" t="n">
        <v>9171546</v>
      </c>
      <c r="AF100" s="16" t="n">
        <v>5443877</v>
      </c>
      <c r="AG100" s="16" t="n">
        <v>5554269</v>
      </c>
      <c r="AH100" s="16" t="n">
        <v>5508888</v>
      </c>
      <c r="AI100" s="8"/>
    </row>
    <row r="101" customFormat="false" ht="16.4" hidden="false" customHeight="false" outlineLevel="0" collapsed="false">
      <c r="B101" s="9"/>
      <c r="C101" s="14"/>
      <c r="D101" s="15" t="s">
        <v>35</v>
      </c>
      <c r="E101" s="16" t="n">
        <v>157564</v>
      </c>
      <c r="F101" s="16" t="n">
        <v>82824</v>
      </c>
      <c r="G101" s="16" t="n">
        <v>45828</v>
      </c>
      <c r="H101" s="16" t="n">
        <v>24813</v>
      </c>
      <c r="I101" s="16" t="n">
        <v>24650</v>
      </c>
      <c r="J101" s="16" t="n">
        <v>23735</v>
      </c>
      <c r="K101" s="7"/>
      <c r="L101" s="7"/>
      <c r="M101" s="16" t="n">
        <v>1419088</v>
      </c>
      <c r="N101" s="16" t="n">
        <v>786394</v>
      </c>
      <c r="O101" s="16" t="n">
        <v>415236</v>
      </c>
      <c r="P101" s="16" t="n">
        <v>229470</v>
      </c>
      <c r="Q101" s="16" t="n">
        <v>283396</v>
      </c>
      <c r="R101" s="16" t="n">
        <v>386168</v>
      </c>
      <c r="S101" s="7"/>
      <c r="T101" s="7"/>
      <c r="U101" s="16" t="n">
        <v>6634578</v>
      </c>
      <c r="V101" s="16" t="n">
        <v>3990766</v>
      </c>
      <c r="W101" s="16" t="n">
        <v>2176682</v>
      </c>
      <c r="X101" s="16" t="n">
        <v>1248976</v>
      </c>
      <c r="Y101" s="16" t="n">
        <v>1348331</v>
      </c>
      <c r="Z101" s="16" t="n">
        <v>1814930</v>
      </c>
      <c r="AA101" s="7"/>
      <c r="AB101" s="7"/>
      <c r="AC101" s="16" t="n">
        <v>31734481</v>
      </c>
      <c r="AD101" s="16" t="n">
        <v>16487193</v>
      </c>
      <c r="AE101" s="16" t="n">
        <v>9105058</v>
      </c>
      <c r="AF101" s="16" t="n">
        <v>5420987</v>
      </c>
      <c r="AG101" s="16" t="n">
        <v>5372035</v>
      </c>
      <c r="AH101" s="16" t="n">
        <v>5521556</v>
      </c>
      <c r="AI101" s="8"/>
    </row>
    <row r="102" customFormat="false" ht="16.4" hidden="false" customHeight="false" outlineLevel="0" collapsed="false">
      <c r="B102" s="9"/>
      <c r="C102" s="14"/>
      <c r="D102" s="15" t="s">
        <v>36</v>
      </c>
      <c r="E102" s="16" t="n">
        <v>159480</v>
      </c>
      <c r="F102" s="16" t="n">
        <v>82535</v>
      </c>
      <c r="G102" s="16" t="n">
        <v>44217</v>
      </c>
      <c r="H102" s="16" t="n">
        <v>27431</v>
      </c>
      <c r="I102" s="16" t="n">
        <v>27912</v>
      </c>
      <c r="J102" s="16" t="n">
        <v>23212</v>
      </c>
      <c r="K102" s="7"/>
      <c r="L102" s="7"/>
      <c r="M102" s="16" t="n">
        <v>1451789</v>
      </c>
      <c r="N102" s="16" t="n">
        <v>741208</v>
      </c>
      <c r="O102" s="16" t="n">
        <v>409317</v>
      </c>
      <c r="P102" s="16" t="n">
        <v>230108</v>
      </c>
      <c r="Q102" s="16" t="n">
        <v>293721</v>
      </c>
      <c r="R102" s="16" t="n">
        <v>385701</v>
      </c>
      <c r="S102" s="7"/>
      <c r="T102" s="7"/>
      <c r="U102" s="16" t="n">
        <v>6607799</v>
      </c>
      <c r="V102" s="16" t="n">
        <v>3989493</v>
      </c>
      <c r="W102" s="16" t="n">
        <v>2175429</v>
      </c>
      <c r="X102" s="16" t="n">
        <v>1243819</v>
      </c>
      <c r="Y102" s="16" t="n">
        <v>1415192</v>
      </c>
      <c r="Z102" s="16" t="n">
        <v>1835024</v>
      </c>
      <c r="AA102" s="7"/>
      <c r="AB102" s="7"/>
      <c r="AC102" s="16" t="n">
        <v>31965132</v>
      </c>
      <c r="AD102" s="16" t="n">
        <v>16537223</v>
      </c>
      <c r="AE102" s="16" t="n">
        <v>9118059</v>
      </c>
      <c r="AF102" s="16" t="n">
        <v>5579342</v>
      </c>
      <c r="AG102" s="16" t="n">
        <v>5338355</v>
      </c>
      <c r="AH102" s="16" t="n">
        <v>5552841</v>
      </c>
      <c r="AI102" s="8"/>
    </row>
    <row r="103" customFormat="false" ht="16.4" hidden="false" customHeight="false" outlineLevel="0" collapsed="false">
      <c r="B103" s="9"/>
      <c r="C103" s="14"/>
      <c r="D103" s="15" t="s">
        <v>37</v>
      </c>
      <c r="E103" s="16" t="n">
        <v>160557</v>
      </c>
      <c r="F103" s="16" t="n">
        <v>82591</v>
      </c>
      <c r="G103" s="16" t="n">
        <v>45886</v>
      </c>
      <c r="H103" s="16" t="n">
        <v>26444</v>
      </c>
      <c r="I103" s="16" t="n">
        <v>25599</v>
      </c>
      <c r="J103" s="16" t="n">
        <v>23106</v>
      </c>
      <c r="K103" s="7"/>
      <c r="L103" s="7"/>
      <c r="M103" s="16" t="n">
        <v>1457553</v>
      </c>
      <c r="N103" s="16" t="n">
        <v>742057</v>
      </c>
      <c r="O103" s="16" t="n">
        <v>409315</v>
      </c>
      <c r="P103" s="16" t="n">
        <v>230738</v>
      </c>
      <c r="Q103" s="16" t="n">
        <v>276805</v>
      </c>
      <c r="R103" s="16" t="n">
        <v>391908</v>
      </c>
      <c r="S103" s="7"/>
      <c r="T103" s="7"/>
      <c r="U103" s="16" t="n">
        <v>6657588</v>
      </c>
      <c r="V103" s="16" t="n">
        <v>3988550</v>
      </c>
      <c r="W103" s="16" t="n">
        <v>2181167</v>
      </c>
      <c r="X103" s="16" t="n">
        <v>1248146</v>
      </c>
      <c r="Y103" s="16" t="n">
        <v>1334124</v>
      </c>
      <c r="Z103" s="16" t="n">
        <v>1840639</v>
      </c>
      <c r="AA103" s="7"/>
      <c r="AB103" s="7"/>
      <c r="AC103" s="16" t="n">
        <v>32007672</v>
      </c>
      <c r="AD103" s="16" t="n">
        <v>16446268</v>
      </c>
      <c r="AE103" s="16" t="n">
        <v>9111416</v>
      </c>
      <c r="AF103" s="16" t="n">
        <v>5459185</v>
      </c>
      <c r="AG103" s="16" t="n">
        <v>5388290</v>
      </c>
      <c r="AH103" s="16" t="n">
        <v>5549144</v>
      </c>
      <c r="AI103" s="8"/>
    </row>
    <row r="104" customFormat="false" ht="16.4" hidden="false" customHeight="false" outlineLevel="0" collapsed="false">
      <c r="B104" s="9"/>
      <c r="C104" s="14"/>
      <c r="D104" s="15" t="s">
        <v>38</v>
      </c>
      <c r="E104" s="16" t="n">
        <v>159888</v>
      </c>
      <c r="F104" s="16" t="n">
        <v>82598</v>
      </c>
      <c r="G104" s="16" t="n">
        <v>43758</v>
      </c>
      <c r="H104" s="16" t="n">
        <v>24024</v>
      </c>
      <c r="I104" s="16" t="n">
        <v>26441</v>
      </c>
      <c r="J104" s="16" t="n">
        <v>24172</v>
      </c>
      <c r="K104" s="7"/>
      <c r="L104" s="7"/>
      <c r="M104" s="16" t="n">
        <v>1449485</v>
      </c>
      <c r="N104" s="16" t="n">
        <v>747019</v>
      </c>
      <c r="O104" s="16" t="n">
        <v>412253</v>
      </c>
      <c r="P104" s="16" t="n">
        <v>229681</v>
      </c>
      <c r="Q104" s="16" t="n">
        <v>279793</v>
      </c>
      <c r="R104" s="16" t="n">
        <v>389521</v>
      </c>
      <c r="S104" s="7"/>
      <c r="T104" s="7"/>
      <c r="U104" s="16" t="n">
        <v>6607089</v>
      </c>
      <c r="V104" s="16" t="n">
        <v>3989192</v>
      </c>
      <c r="W104" s="16" t="n">
        <v>2174760</v>
      </c>
      <c r="X104" s="16" t="n">
        <v>1246669</v>
      </c>
      <c r="Y104" s="16" t="n">
        <v>1344099</v>
      </c>
      <c r="Z104" s="16" t="n">
        <v>1841150</v>
      </c>
      <c r="AA104" s="7"/>
      <c r="AB104" s="7"/>
      <c r="AC104" s="16" t="n">
        <v>31941648</v>
      </c>
      <c r="AD104" s="16" t="n">
        <v>16437194</v>
      </c>
      <c r="AE104" s="16" t="n">
        <v>9110971</v>
      </c>
      <c r="AF104" s="16" t="n">
        <v>5372608</v>
      </c>
      <c r="AG104" s="16" t="n">
        <v>5355454</v>
      </c>
      <c r="AH104" s="16" t="n">
        <v>5498018</v>
      </c>
      <c r="AI104" s="8"/>
    </row>
    <row r="105" customFormat="false" ht="16.4" hidden="false" customHeight="false" outlineLevel="0" collapsed="false">
      <c r="B105" s="9"/>
      <c r="C105" s="14"/>
      <c r="D105" s="15" t="s">
        <v>39</v>
      </c>
      <c r="E105" s="16" t="n">
        <v>160961</v>
      </c>
      <c r="F105" s="16" t="n">
        <v>83954</v>
      </c>
      <c r="G105" s="16" t="n">
        <v>47401</v>
      </c>
      <c r="H105" s="16" t="n">
        <v>25133</v>
      </c>
      <c r="I105" s="16" t="n">
        <v>26213</v>
      </c>
      <c r="J105" s="16" t="n">
        <v>22692</v>
      </c>
      <c r="K105" s="7"/>
      <c r="L105" s="7"/>
      <c r="M105" s="16" t="n">
        <v>1425655</v>
      </c>
      <c r="N105" s="16" t="n">
        <v>745320</v>
      </c>
      <c r="O105" s="16" t="n">
        <v>416294</v>
      </c>
      <c r="P105" s="16" t="n">
        <v>230008</v>
      </c>
      <c r="Q105" s="16" t="n">
        <v>280938</v>
      </c>
      <c r="R105" s="16" t="n">
        <v>384632</v>
      </c>
      <c r="S105" s="7"/>
      <c r="T105" s="7"/>
      <c r="U105" s="16" t="n">
        <v>6618924</v>
      </c>
      <c r="V105" s="16" t="n">
        <v>4004951</v>
      </c>
      <c r="W105" s="16" t="n">
        <v>2190952</v>
      </c>
      <c r="X105" s="16" t="n">
        <v>1248860</v>
      </c>
      <c r="Y105" s="16" t="n">
        <v>1355455</v>
      </c>
      <c r="Z105" s="16" t="n">
        <v>1835670</v>
      </c>
      <c r="AA105" s="7"/>
      <c r="AB105" s="7"/>
      <c r="AC105" s="16" t="n">
        <v>31364033</v>
      </c>
      <c r="AD105" s="16" t="n">
        <v>16554718</v>
      </c>
      <c r="AE105" s="16" t="n">
        <v>9187837</v>
      </c>
      <c r="AF105" s="16" t="n">
        <v>5415940</v>
      </c>
      <c r="AG105" s="16" t="n">
        <v>5362450</v>
      </c>
      <c r="AH105" s="16" t="n">
        <v>5538194</v>
      </c>
      <c r="AI105" s="8"/>
    </row>
    <row r="106" customFormat="false" ht="16.4" hidden="false" customHeight="false" outlineLevel="0" collapsed="false">
      <c r="B106" s="9"/>
      <c r="C106" s="14"/>
      <c r="D106" s="15" t="s">
        <v>40</v>
      </c>
      <c r="E106" s="16" t="n">
        <v>160605</v>
      </c>
      <c r="F106" s="16" t="n">
        <v>83207</v>
      </c>
      <c r="G106" s="16" t="n">
        <v>46454</v>
      </c>
      <c r="H106" s="16" t="n">
        <v>25301</v>
      </c>
      <c r="I106" s="16" t="n">
        <v>27961</v>
      </c>
      <c r="J106" s="16" t="n">
        <v>23721</v>
      </c>
      <c r="K106" s="7"/>
      <c r="L106" s="7"/>
      <c r="M106" s="16" t="n">
        <v>1453312</v>
      </c>
      <c r="N106" s="16" t="n">
        <v>743366</v>
      </c>
      <c r="O106" s="16" t="n">
        <v>411230</v>
      </c>
      <c r="P106" s="16" t="n">
        <v>230175</v>
      </c>
      <c r="Q106" s="16" t="n">
        <v>316739</v>
      </c>
      <c r="R106" s="16" t="n">
        <v>384929</v>
      </c>
      <c r="S106" s="7"/>
      <c r="T106" s="7"/>
      <c r="U106" s="16" t="n">
        <v>6513418</v>
      </c>
      <c r="V106" s="16" t="n">
        <v>4019069</v>
      </c>
      <c r="W106" s="16" t="n">
        <v>2175625</v>
      </c>
      <c r="X106" s="16" t="n">
        <v>1249973</v>
      </c>
      <c r="Y106" s="16" t="n">
        <v>1363798</v>
      </c>
      <c r="Z106" s="16" t="n">
        <v>1855427</v>
      </c>
      <c r="AA106" s="7"/>
      <c r="AB106" s="7"/>
      <c r="AC106" s="16" t="n">
        <v>31989635</v>
      </c>
      <c r="AD106" s="16" t="n">
        <v>16508235</v>
      </c>
      <c r="AE106" s="16" t="n">
        <v>9140426</v>
      </c>
      <c r="AF106" s="16" t="n">
        <v>5357849</v>
      </c>
      <c r="AG106" s="16" t="n">
        <v>5367857</v>
      </c>
      <c r="AH106" s="16" t="n">
        <v>5487803</v>
      </c>
      <c r="AI106" s="8"/>
    </row>
    <row r="107" customFormat="false" ht="14.25" hidden="false" customHeight="false" outlineLevel="0" collapsed="false">
      <c r="B107" s="9"/>
      <c r="C107" s="18"/>
      <c r="D107" s="19" t="s">
        <v>41</v>
      </c>
      <c r="E107" s="20" t="n">
        <f aca="false" t="array" ref="E107:E107">ROUND(AVERAGE(IF((ISNUMBER(E77:E106))*(E77:E106&lt;LARGE(E77:E106,2))*(E77:E106&gt;SMALL(E77:E106,2)),E77:E106)),0)</f>
        <v>159210</v>
      </c>
      <c r="F107" s="20" t="n">
        <f aca="false" t="array" ref="F107:F107">ROUND(AVERAGE(IF((ISNUMBER(F77:F106))*(F77:F106&lt;LARGE(F77:F106,2))*(F77:F106&gt;SMALL(F77:F106,2)),F77:F106)),0)</f>
        <v>82472</v>
      </c>
      <c r="G107" s="20" t="n">
        <f aca="false" t="array" ref="G107:G107">ROUND(AVERAGE(IF((ISNUMBER(G77:G106))*(G77:G106&lt;LARGE(G77:G106,2))*(G77:G106&gt;SMALL(G77:G106,2)),G77:G106)),0)</f>
        <v>45282</v>
      </c>
      <c r="H107" s="20" t="n">
        <f aca="false" t="array" ref="H107:H107">ROUND(AVERAGE(IF((ISNUMBER(H77:H106))*(H77:H106&lt;LARGE(H77:H106,2))*(H77:H106&gt;SMALL(H77:H106,2)),H77:H106)),0)</f>
        <v>25986</v>
      </c>
      <c r="I107" s="20" t="n">
        <f aca="false" t="array" ref="I107:I107">ROUND(AVERAGE(IF((ISNUMBER(I77:I106))*(I77:I106&lt;LARGE(I77:I106,2))*(I77:I106&gt;SMALL(I77:I106,2)),I77:I106)),0)</f>
        <v>26568</v>
      </c>
      <c r="J107" s="20" t="n">
        <f aca="false" t="array" ref="J107:J107">ROUND(AVERAGE(IF((ISNUMBER(J77:J106))*(J77:J106&lt;LARGE(J77:J106,2))*(J77:J106&gt;SMALL(J77:J106,2)),J77:J106)),0)</f>
        <v>23775</v>
      </c>
      <c r="K107" s="20"/>
      <c r="L107" s="20"/>
      <c r="M107" s="20" t="n">
        <f aca="false" t="array" ref="M107:M107">ROUND(AVERAGE(IF((ISNUMBER(M77:M106))*(M77:M106&lt;LARGE(M77:M106,2))*(M77:M106&gt;SMALL(M77:M106,2)),M77:M106)),0)</f>
        <v>1429497</v>
      </c>
      <c r="N107" s="20" t="n">
        <f aca="false" t="array" ref="N107:N107">ROUND(AVERAGE(IF((ISNUMBER(N77:N106))*(N77:N106&lt;LARGE(N77:N106,2))*(N77:N106&gt;SMALL(N77:N106,2)),N77:N106)),0)</f>
        <v>739018</v>
      </c>
      <c r="O107" s="20" t="n">
        <f aca="false" t="array" ref="O107:O107">ROUND(AVERAGE(IF((ISNUMBER(O77:O106))*(O77:O106&lt;LARGE(O77:O106,2))*(O77:O106&gt;SMALL(O77:O106,2)),O77:O106)),0)</f>
        <v>409038</v>
      </c>
      <c r="P107" s="20" t="n">
        <f aca="false" t="array" ref="P107:P107">ROUND(AVERAGE(IF((ISNUMBER(P77:P106))*(P77:P106&lt;LARGE(P77:P106,2))*(P77:P106&gt;SMALL(P77:P106,2)),P77:P106)),0)</f>
        <v>228107</v>
      </c>
      <c r="Q107" s="20" t="n">
        <f aca="false" t="array" ref="Q107:Q107">ROUND(AVERAGE(IF((ISNUMBER(Q77:Q106))*(Q77:Q106&lt;LARGE(Q77:Q106,2))*(Q77:Q106&gt;SMALL(Q77:Q106,2)),Q77:Q106)),0)</f>
        <v>289525</v>
      </c>
      <c r="R107" s="20" t="n">
        <f aca="false" t="array" ref="R107:R107">ROUND(AVERAGE(IF((ISNUMBER(R77:R106))*(R77:R106&lt;LARGE(R77:R106,2))*(R77:R106&gt;SMALL(R77:R106,2)),R77:R106)),0)</f>
        <v>385648</v>
      </c>
      <c r="S107" s="20"/>
      <c r="T107" s="20"/>
      <c r="U107" s="20" t="n">
        <f aca="false" t="array" ref="U107:U107">ROUND(AVERAGE(IF((ISNUMBER(U77:U106))*(U77:U106&lt;LARGE(U77:U106,2))*(U77:U106&gt;SMALL(U77:U106,2)),U77:U106)),0)</f>
        <v>6562638</v>
      </c>
      <c r="V107" s="20" t="n">
        <f aca="false" t="array" ref="V107:V107">ROUND(AVERAGE(IF((ISNUMBER(V77:V106))*(V77:V106&lt;LARGE(V77:V106,2))*(V77:V106&gt;SMALL(V77:V106,2)),V77:V106)),0)</f>
        <v>3974350</v>
      </c>
      <c r="W107" s="20" t="n">
        <f aca="false" t="array" ref="W107:W107">ROUND(AVERAGE(IF((ISNUMBER(W77:W106))*(W77:W106&lt;LARGE(W77:W106,2))*(W77:W106&gt;SMALL(W77:W106,2)),W77:W106)),0)</f>
        <v>2164768</v>
      </c>
      <c r="X107" s="20" t="n">
        <f aca="false" t="array" ref="X107:X107">ROUND(AVERAGE(IF((ISNUMBER(X77:X106))*(X77:X106&lt;LARGE(X77:X106,2))*(X77:X106&gt;SMALL(X77:X106,2)),X77:X106)),0)</f>
        <v>1236078</v>
      </c>
      <c r="Y107" s="20" t="n">
        <f aca="false" t="array" ref="Y107:Y107">ROUND(AVERAGE(IF((ISNUMBER(Y77:Y106))*(Y77:Y106&lt;LARGE(Y77:Y106,2))*(Y77:Y106&gt;SMALL(Y77:Y106,2)),Y77:Y106)),0)</f>
        <v>1361710</v>
      </c>
      <c r="Z107" s="20" t="n">
        <f aca="false" t="array" ref="Z107:Z107">ROUND(AVERAGE(IF((ISNUMBER(Z77:Z106))*(Z77:Z106&lt;LARGE(Z77:Z106,2))*(Z77:Z106&gt;SMALL(Z77:Z106,2)),Z77:Z106)),0)</f>
        <v>1828974</v>
      </c>
      <c r="AA107" s="20"/>
      <c r="AB107" s="20"/>
      <c r="AC107" s="20" t="n">
        <f aca="false" t="array" ref="AC107:AC107">ROUND(AVERAGE(IF((ISNUMBER(AC77:AC106))*(AC77:AC106&lt;LARGE(AC77:AC106,2))*(AC77:AC106&gt;SMALL(AC77:AC106,2)),AC77:AC106)),0)</f>
        <v>31863280</v>
      </c>
      <c r="AD107" s="20" t="n">
        <f aca="false" t="array" ref="AD107:AD107">ROUND(AVERAGE(IF((ISNUMBER(AD77:AD106))*(AD77:AD106&lt;LARGE(AD77:AD106,2))*(AD77:AD106&gt;SMALL(AD77:AD106,2)),AD77:AD106)),0)</f>
        <v>16504737</v>
      </c>
      <c r="AE107" s="20" t="n">
        <f aca="false" t="array" ref="AE107:AE107">ROUND(AVERAGE(IF((ISNUMBER(AE77:AE106))*(AE77:AE106&lt;LARGE(AE77:AE106,2))*(AE77:AE106&gt;SMALL(AE77:AE106,2)),AE77:AE106)),0)</f>
        <v>9123372</v>
      </c>
      <c r="AF107" s="20" t="n">
        <f aca="false" t="array" ref="AF107:AF107">ROUND(AVERAGE(IF((ISNUMBER(AF77:AF106))*(AF77:AF106&lt;LARGE(AF77:AF106,2))*(AF77:AF106&gt;SMALL(AF77:AF106,2)),AF77:AF106)),0)</f>
        <v>5393153</v>
      </c>
      <c r="AG107" s="20" t="n">
        <f aca="false" t="array" ref="AG107:AG107">ROUND(AVERAGE(IF((ISNUMBER(AG77:AG106))*(AG77:AG106&lt;LARGE(AG77:AG106,2))*(AG77:AG106&gt;SMALL(AG77:AG106,2)),AG77:AG106)),0)</f>
        <v>5416419</v>
      </c>
      <c r="AH107" s="21" t="n">
        <f aca="false" t="array" ref="AH107:AH107">ROUND(AVERAGE(IF((ISNUMBER(AH77:AH106))*(AH77:AH106&lt;LARGE(AH77:AH106,2))*(AH77:AH106&gt;SMALL(AH77:AH106,2)),AH77:AH106)),0)</f>
        <v>5515769</v>
      </c>
      <c r="AI107" s="8"/>
    </row>
    <row r="108" customFormat="false" ht="14.25" hidden="false" customHeight="false" outlineLevel="0" collapsed="false"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5"/>
    </row>
    <row r="109" customFormat="false" ht="14.25" hidden="false" customHeight="false" outlineLevel="0" collapsed="false">
      <c r="B109" s="26"/>
      <c r="C109" s="7"/>
      <c r="D109" s="1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customFormat="false" ht="33.85" hidden="false" customHeight="false" outlineLevel="0" collapsed="false">
      <c r="B110" s="1" t="s">
        <v>46</v>
      </c>
      <c r="C110" s="2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4"/>
    </row>
    <row r="111" customFormat="false" ht="14.25" hidden="false" customHeight="false" outlineLevel="0" collapsed="false">
      <c r="B111" s="29"/>
      <c r="C111" s="6"/>
      <c r="D111" s="2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8"/>
    </row>
    <row r="112" customFormat="false" ht="14.25" hidden="false" customHeight="false" outlineLevel="0" collapsed="false">
      <c r="B112" s="30"/>
      <c r="C112" s="10" t="s">
        <v>1</v>
      </c>
      <c r="D112" s="11"/>
      <c r="E112" s="11" t="s">
        <v>2</v>
      </c>
      <c r="F112" s="11" t="s">
        <v>3</v>
      </c>
      <c r="G112" s="11" t="s">
        <v>4</v>
      </c>
      <c r="H112" s="11" t="s">
        <v>5</v>
      </c>
      <c r="I112" s="11" t="s">
        <v>6</v>
      </c>
      <c r="J112" s="11" t="s">
        <v>7</v>
      </c>
      <c r="K112" s="12" t="s">
        <v>8</v>
      </c>
      <c r="L112" s="12"/>
      <c r="M112" s="11" t="s">
        <v>2</v>
      </c>
      <c r="N112" s="11" t="s">
        <v>3</v>
      </c>
      <c r="O112" s="11" t="s">
        <v>4</v>
      </c>
      <c r="P112" s="11" t="s">
        <v>5</v>
      </c>
      <c r="Q112" s="11" t="s">
        <v>6</v>
      </c>
      <c r="R112" s="11" t="s">
        <v>7</v>
      </c>
      <c r="S112" s="12" t="s">
        <v>43</v>
      </c>
      <c r="T112" s="12"/>
      <c r="U112" s="11" t="s">
        <v>2</v>
      </c>
      <c r="V112" s="11" t="s">
        <v>3</v>
      </c>
      <c r="W112" s="11" t="s">
        <v>4</v>
      </c>
      <c r="X112" s="11" t="s">
        <v>5</v>
      </c>
      <c r="Y112" s="11" t="s">
        <v>6</v>
      </c>
      <c r="Z112" s="11" t="s">
        <v>7</v>
      </c>
      <c r="AA112" s="12" t="s">
        <v>10</v>
      </c>
      <c r="AB112" s="12"/>
      <c r="AC112" s="11" t="s">
        <v>2</v>
      </c>
      <c r="AD112" s="11" t="s">
        <v>3</v>
      </c>
      <c r="AE112" s="11" t="s">
        <v>4</v>
      </c>
      <c r="AF112" s="11" t="s">
        <v>5</v>
      </c>
      <c r="AG112" s="11" t="s">
        <v>6</v>
      </c>
      <c r="AH112" s="13" t="s">
        <v>7</v>
      </c>
      <c r="AI112" s="8"/>
    </row>
    <row r="113" customFormat="false" ht="16.4" hidden="false" customHeight="false" outlineLevel="0" collapsed="false">
      <c r="B113" s="30"/>
      <c r="C113" s="14"/>
      <c r="D113" s="15" t="s">
        <v>11</v>
      </c>
      <c r="E113" s="16" t="n">
        <v>160105</v>
      </c>
      <c r="F113" s="16" t="n">
        <v>80808</v>
      </c>
      <c r="G113" s="16" t="n">
        <v>42004</v>
      </c>
      <c r="H113" s="16" t="n">
        <v>22785</v>
      </c>
      <c r="I113" s="16" t="n">
        <v>17242</v>
      </c>
      <c r="J113" s="16" t="n">
        <v>18898</v>
      </c>
      <c r="K113" s="7"/>
      <c r="L113" s="7"/>
      <c r="M113" s="16" t="n">
        <v>1305545</v>
      </c>
      <c r="N113" s="16" t="n">
        <v>660596</v>
      </c>
      <c r="O113" s="16" t="n">
        <v>346199</v>
      </c>
      <c r="P113" s="16" t="n">
        <v>191505</v>
      </c>
      <c r="Q113" s="16" t="n">
        <v>151866</v>
      </c>
      <c r="R113" s="16" t="n">
        <v>137784</v>
      </c>
      <c r="S113" s="7"/>
      <c r="T113" s="7"/>
      <c r="U113" s="16" t="n">
        <v>4589777</v>
      </c>
      <c r="V113" s="16" t="n">
        <v>2304409</v>
      </c>
      <c r="W113" s="16" t="n">
        <v>1231866</v>
      </c>
      <c r="X113" s="16" t="n">
        <v>677927</v>
      </c>
      <c r="Y113" s="16" t="n">
        <v>523437</v>
      </c>
      <c r="Z113" s="16" t="n">
        <v>477394</v>
      </c>
      <c r="AA113" s="7"/>
      <c r="AB113" s="7"/>
      <c r="AC113" s="16" t="n">
        <v>10727480</v>
      </c>
      <c r="AD113" s="16" t="n">
        <v>5525627</v>
      </c>
      <c r="AE113" s="16" t="n">
        <v>2971832</v>
      </c>
      <c r="AF113" s="16" t="n">
        <v>1642639</v>
      </c>
      <c r="AG113" s="16" t="n">
        <v>1255048</v>
      </c>
      <c r="AH113" s="16" t="n">
        <v>1342824</v>
      </c>
      <c r="AI113" s="8"/>
    </row>
    <row r="114" customFormat="false" ht="16.4" hidden="false" customHeight="false" outlineLevel="0" collapsed="false">
      <c r="B114" s="30"/>
      <c r="C114" s="14"/>
      <c r="D114" s="15" t="s">
        <v>12</v>
      </c>
      <c r="E114" s="16" t="n">
        <v>156198</v>
      </c>
      <c r="F114" s="16" t="n">
        <v>80492</v>
      </c>
      <c r="G114" s="16" t="n">
        <v>42303</v>
      </c>
      <c r="H114" s="16" t="n">
        <v>22688</v>
      </c>
      <c r="I114" s="16" t="n">
        <v>18070</v>
      </c>
      <c r="J114" s="16" t="n">
        <v>18308</v>
      </c>
      <c r="K114" s="7"/>
      <c r="L114" s="7"/>
      <c r="M114" s="16" t="n">
        <v>1278263</v>
      </c>
      <c r="N114" s="16" t="n">
        <v>660667</v>
      </c>
      <c r="O114" s="16" t="n">
        <v>349073</v>
      </c>
      <c r="P114" s="16" t="n">
        <v>194282</v>
      </c>
      <c r="Q114" s="16" t="n">
        <v>154544</v>
      </c>
      <c r="R114" s="16" t="n">
        <v>131039</v>
      </c>
      <c r="S114" s="7"/>
      <c r="T114" s="7"/>
      <c r="U114" s="16" t="n">
        <v>4534459</v>
      </c>
      <c r="V114" s="16" t="n">
        <v>2295830</v>
      </c>
      <c r="W114" s="16" t="n">
        <v>1235944</v>
      </c>
      <c r="X114" s="16" t="n">
        <v>681221</v>
      </c>
      <c r="Y114" s="16" t="n">
        <v>540888</v>
      </c>
      <c r="Z114" s="16" t="n">
        <v>490569</v>
      </c>
      <c r="AA114" s="7"/>
      <c r="AB114" s="7"/>
      <c r="AC114" s="16" t="n">
        <v>10636465</v>
      </c>
      <c r="AD114" s="16" t="n">
        <v>5605568</v>
      </c>
      <c r="AE114" s="16" t="n">
        <v>2980107</v>
      </c>
      <c r="AF114" s="16" t="n">
        <v>1646302</v>
      </c>
      <c r="AG114" s="16" t="n">
        <v>1244606</v>
      </c>
      <c r="AH114" s="16" t="n">
        <v>1315036</v>
      </c>
      <c r="AI114" s="8"/>
    </row>
    <row r="115" customFormat="false" ht="16.4" hidden="false" customHeight="false" outlineLevel="0" collapsed="false">
      <c r="B115" s="30"/>
      <c r="C115" s="14"/>
      <c r="D115" s="15" t="s">
        <v>13</v>
      </c>
      <c r="E115" s="16" t="n">
        <v>157278</v>
      </c>
      <c r="F115" s="16" t="n">
        <v>80798</v>
      </c>
      <c r="G115" s="16" t="n">
        <v>42075</v>
      </c>
      <c r="H115" s="16" t="n">
        <v>22509</v>
      </c>
      <c r="I115" s="16" t="n">
        <v>17514</v>
      </c>
      <c r="J115" s="16" t="n">
        <v>18105</v>
      </c>
      <c r="K115" s="7"/>
      <c r="L115" s="7"/>
      <c r="M115" s="16" t="n">
        <v>1285119</v>
      </c>
      <c r="N115" s="16" t="n">
        <v>661136</v>
      </c>
      <c r="O115" s="16" t="n">
        <v>352658</v>
      </c>
      <c r="P115" s="16" t="n">
        <v>194396</v>
      </c>
      <c r="Q115" s="16" t="n">
        <v>157060</v>
      </c>
      <c r="R115" s="16" t="n">
        <v>137490</v>
      </c>
      <c r="S115" s="7"/>
      <c r="T115" s="7"/>
      <c r="U115" s="16" t="n">
        <v>4518418</v>
      </c>
      <c r="V115" s="16" t="n">
        <v>2302591</v>
      </c>
      <c r="W115" s="16" t="n">
        <v>1238777</v>
      </c>
      <c r="X115" s="16" t="n">
        <v>686554</v>
      </c>
      <c r="Y115" s="16" t="n">
        <v>521250</v>
      </c>
      <c r="Z115" s="16" t="n">
        <v>487669</v>
      </c>
      <c r="AA115" s="7"/>
      <c r="AB115" s="7"/>
      <c r="AC115" s="16" t="n">
        <v>10594495</v>
      </c>
      <c r="AD115" s="16" t="n">
        <v>5535508</v>
      </c>
      <c r="AE115" s="16" t="n">
        <v>2985800</v>
      </c>
      <c r="AF115" s="16" t="n">
        <v>1649624</v>
      </c>
      <c r="AG115" s="16" t="n">
        <v>1305362</v>
      </c>
      <c r="AH115" s="16" t="n">
        <v>1345743</v>
      </c>
      <c r="AI115" s="8"/>
    </row>
    <row r="116" customFormat="false" ht="16.4" hidden="false" customHeight="false" outlineLevel="0" collapsed="false">
      <c r="B116" s="30"/>
      <c r="C116" s="14"/>
      <c r="D116" s="15" t="s">
        <v>14</v>
      </c>
      <c r="E116" s="16" t="n">
        <v>153616</v>
      </c>
      <c r="F116" s="16" t="n">
        <v>80423</v>
      </c>
      <c r="G116" s="16" t="n">
        <v>41949</v>
      </c>
      <c r="H116" s="16" t="n">
        <v>24909</v>
      </c>
      <c r="I116" s="16" t="n">
        <v>18241</v>
      </c>
      <c r="J116" s="16" t="n">
        <v>18176</v>
      </c>
      <c r="K116" s="7"/>
      <c r="L116" s="7"/>
      <c r="M116" s="16" t="n">
        <v>1277789</v>
      </c>
      <c r="N116" s="16" t="n">
        <v>661006</v>
      </c>
      <c r="O116" s="16" t="n">
        <v>348746</v>
      </c>
      <c r="P116" s="16" t="n">
        <v>194226</v>
      </c>
      <c r="Q116" s="16" t="n">
        <v>158842</v>
      </c>
      <c r="R116" s="16" t="n">
        <v>132124</v>
      </c>
      <c r="S116" s="7"/>
      <c r="T116" s="7"/>
      <c r="U116" s="16" t="n">
        <v>4468090</v>
      </c>
      <c r="V116" s="16" t="n">
        <v>2302769</v>
      </c>
      <c r="W116" s="16" t="n">
        <v>1242055</v>
      </c>
      <c r="X116" s="16" t="n">
        <v>684007</v>
      </c>
      <c r="Y116" s="16" t="n">
        <v>542227</v>
      </c>
      <c r="Z116" s="16" t="n">
        <v>484614</v>
      </c>
      <c r="AA116" s="7"/>
      <c r="AB116" s="7"/>
      <c r="AC116" s="16" t="n">
        <v>10742206</v>
      </c>
      <c r="AD116" s="16" t="n">
        <v>5560570</v>
      </c>
      <c r="AE116" s="16" t="n">
        <v>2995856</v>
      </c>
      <c r="AF116" s="16" t="n">
        <v>1668037</v>
      </c>
      <c r="AG116" s="16" t="n">
        <v>1317633</v>
      </c>
      <c r="AH116" s="16" t="n">
        <v>1315090</v>
      </c>
      <c r="AI116" s="8"/>
    </row>
    <row r="117" customFormat="false" ht="16.4" hidden="false" customHeight="false" outlineLevel="0" collapsed="false">
      <c r="B117" s="30"/>
      <c r="C117" s="14"/>
      <c r="D117" s="15" t="s">
        <v>15</v>
      </c>
      <c r="E117" s="16" t="n">
        <v>155830</v>
      </c>
      <c r="F117" s="16" t="n">
        <v>81032</v>
      </c>
      <c r="G117" s="16" t="n">
        <v>42408</v>
      </c>
      <c r="H117" s="16" t="n">
        <v>23029</v>
      </c>
      <c r="I117" s="16" t="n">
        <v>17275</v>
      </c>
      <c r="J117" s="16" t="n">
        <v>17361</v>
      </c>
      <c r="K117" s="7"/>
      <c r="L117" s="7"/>
      <c r="M117" s="16" t="n">
        <v>1289685</v>
      </c>
      <c r="N117" s="16" t="n">
        <v>661362</v>
      </c>
      <c r="O117" s="16" t="n">
        <v>350189</v>
      </c>
      <c r="P117" s="16" t="n">
        <v>194087</v>
      </c>
      <c r="Q117" s="16" t="n">
        <v>158030</v>
      </c>
      <c r="R117" s="16" t="n">
        <v>134554</v>
      </c>
      <c r="S117" s="7"/>
      <c r="T117" s="7"/>
      <c r="U117" s="16" t="n">
        <v>4483484</v>
      </c>
      <c r="V117" s="16" t="n">
        <v>2303660</v>
      </c>
      <c r="W117" s="16" t="n">
        <v>1240750</v>
      </c>
      <c r="X117" s="16" t="n">
        <v>687194</v>
      </c>
      <c r="Y117" s="16" t="n">
        <v>545163</v>
      </c>
      <c r="Z117" s="16" t="n">
        <v>484218</v>
      </c>
      <c r="AA117" s="7"/>
      <c r="AB117" s="7"/>
      <c r="AC117" s="16" t="n">
        <v>10826491</v>
      </c>
      <c r="AD117" s="16" t="n">
        <v>5529994</v>
      </c>
      <c r="AE117" s="16" t="n">
        <v>2984299</v>
      </c>
      <c r="AF117" s="16" t="n">
        <v>1661175</v>
      </c>
      <c r="AG117" s="16" t="n">
        <v>1308080</v>
      </c>
      <c r="AH117" s="16" t="n">
        <v>1365362</v>
      </c>
      <c r="AI117" s="8"/>
    </row>
    <row r="118" customFormat="false" ht="16.4" hidden="false" customHeight="false" outlineLevel="0" collapsed="false">
      <c r="B118" s="30"/>
      <c r="C118" s="14"/>
      <c r="D118" s="15" t="s">
        <v>16</v>
      </c>
      <c r="E118" s="16" t="n">
        <v>153369</v>
      </c>
      <c r="F118" s="16" t="n">
        <v>80581</v>
      </c>
      <c r="G118" s="16" t="n">
        <v>42182</v>
      </c>
      <c r="H118" s="16" t="n">
        <v>22877</v>
      </c>
      <c r="I118" s="16" t="n">
        <v>17549</v>
      </c>
      <c r="J118" s="16" t="n">
        <v>18197</v>
      </c>
      <c r="K118" s="7"/>
      <c r="L118" s="7"/>
      <c r="M118" s="16" t="n">
        <v>1285752</v>
      </c>
      <c r="N118" s="16" t="n">
        <v>661059</v>
      </c>
      <c r="O118" s="16" t="n">
        <v>349500</v>
      </c>
      <c r="P118" s="16" t="n">
        <v>194341</v>
      </c>
      <c r="Q118" s="16" t="n">
        <v>156411</v>
      </c>
      <c r="R118" s="16" t="n">
        <v>133906</v>
      </c>
      <c r="S118" s="7"/>
      <c r="T118" s="7"/>
      <c r="U118" s="16" t="n">
        <v>4479113</v>
      </c>
      <c r="V118" s="16" t="n">
        <v>2299308</v>
      </c>
      <c r="W118" s="16" t="n">
        <v>1256373</v>
      </c>
      <c r="X118" s="16" t="n">
        <v>685539</v>
      </c>
      <c r="Y118" s="16" t="n">
        <v>550401</v>
      </c>
      <c r="Z118" s="16" t="n">
        <v>477776</v>
      </c>
      <c r="AA118" s="7"/>
      <c r="AB118" s="7"/>
      <c r="AC118" s="16" t="n">
        <v>10571829</v>
      </c>
      <c r="AD118" s="16" t="n">
        <v>5540470</v>
      </c>
      <c r="AE118" s="16" t="n">
        <v>2992705</v>
      </c>
      <c r="AF118" s="16" t="n">
        <v>1666448</v>
      </c>
      <c r="AG118" s="16" t="n">
        <v>1267155</v>
      </c>
      <c r="AH118" s="16" t="n">
        <v>1325294</v>
      </c>
      <c r="AI118" s="8"/>
    </row>
    <row r="119" customFormat="false" ht="16.4" hidden="false" customHeight="false" outlineLevel="0" collapsed="false">
      <c r="B119" s="30"/>
      <c r="C119" s="14"/>
      <c r="D119" s="15" t="s">
        <v>17</v>
      </c>
      <c r="E119" s="16" t="n">
        <v>154105</v>
      </c>
      <c r="F119" s="16" t="n">
        <v>80428</v>
      </c>
      <c r="G119" s="16" t="n">
        <v>41973</v>
      </c>
      <c r="H119" s="16" t="n">
        <v>23344</v>
      </c>
      <c r="I119" s="16" t="n">
        <v>17642</v>
      </c>
      <c r="J119" s="16" t="n">
        <v>16559</v>
      </c>
      <c r="K119" s="7"/>
      <c r="L119" s="7"/>
      <c r="M119" s="16" t="n">
        <v>1287366</v>
      </c>
      <c r="N119" s="16" t="n">
        <v>662046</v>
      </c>
      <c r="O119" s="16" t="n">
        <v>353192</v>
      </c>
      <c r="P119" s="16" t="n">
        <v>194717</v>
      </c>
      <c r="Q119" s="16" t="n">
        <v>160522</v>
      </c>
      <c r="R119" s="16" t="n">
        <v>136413</v>
      </c>
      <c r="S119" s="7"/>
      <c r="T119" s="7"/>
      <c r="U119" s="16" t="n">
        <v>4478171</v>
      </c>
      <c r="V119" s="16" t="n">
        <v>2349430</v>
      </c>
      <c r="W119" s="16" t="n">
        <v>1247553</v>
      </c>
      <c r="X119" s="16" t="n">
        <v>689664</v>
      </c>
      <c r="Y119" s="16" t="n">
        <v>540639</v>
      </c>
      <c r="Z119" s="16" t="n">
        <v>494681</v>
      </c>
      <c r="AA119" s="7"/>
      <c r="AB119" s="7"/>
      <c r="AC119" s="16" t="n">
        <v>10516507</v>
      </c>
      <c r="AD119" s="16" t="n">
        <v>5531778</v>
      </c>
      <c r="AE119" s="16" t="n">
        <v>2990942</v>
      </c>
      <c r="AF119" s="16" t="n">
        <v>1668284</v>
      </c>
      <c r="AG119" s="16" t="n">
        <v>1154869</v>
      </c>
      <c r="AH119" s="16" t="n">
        <v>1431192</v>
      </c>
      <c r="AI119" s="8"/>
    </row>
    <row r="120" customFormat="false" ht="16.4" hidden="false" customHeight="false" outlineLevel="0" collapsed="false">
      <c r="B120" s="30"/>
      <c r="C120" s="14"/>
      <c r="D120" s="15" t="s">
        <v>18</v>
      </c>
      <c r="E120" s="16" t="n">
        <v>157709</v>
      </c>
      <c r="F120" s="16" t="n">
        <v>80473</v>
      </c>
      <c r="G120" s="16" t="n">
        <v>42109</v>
      </c>
      <c r="H120" s="16" t="n">
        <v>23986</v>
      </c>
      <c r="I120" s="16" t="n">
        <v>17218</v>
      </c>
      <c r="J120" s="16" t="n">
        <v>20204</v>
      </c>
      <c r="K120" s="7"/>
      <c r="L120" s="7"/>
      <c r="M120" s="16" t="n">
        <v>1269902</v>
      </c>
      <c r="N120" s="16" t="n">
        <v>660898</v>
      </c>
      <c r="O120" s="16" t="n">
        <v>355754</v>
      </c>
      <c r="P120" s="16" t="n">
        <v>195742</v>
      </c>
      <c r="Q120" s="16" t="n">
        <v>201693</v>
      </c>
      <c r="R120" s="16" t="n">
        <v>137885</v>
      </c>
      <c r="S120" s="7"/>
      <c r="T120" s="7"/>
      <c r="U120" s="16" t="n">
        <v>4468439</v>
      </c>
      <c r="V120" s="16" t="n">
        <v>2304426</v>
      </c>
      <c r="W120" s="16" t="n">
        <v>1247359</v>
      </c>
      <c r="X120" s="16" t="n">
        <v>690736</v>
      </c>
      <c r="Y120" s="16" t="n">
        <v>523222</v>
      </c>
      <c r="Z120" s="16" t="n">
        <v>500321</v>
      </c>
      <c r="AA120" s="7"/>
      <c r="AB120" s="7"/>
      <c r="AC120" s="16" t="n">
        <v>10508841</v>
      </c>
      <c r="AD120" s="16" t="n">
        <v>5531321</v>
      </c>
      <c r="AE120" s="16" t="n">
        <v>2982698</v>
      </c>
      <c r="AF120" s="16" t="n">
        <v>1682958</v>
      </c>
      <c r="AG120" s="16" t="n">
        <v>1246944</v>
      </c>
      <c r="AH120" s="16" t="n">
        <v>1466569</v>
      </c>
      <c r="AI120" s="8"/>
    </row>
    <row r="121" customFormat="false" ht="16.4" hidden="false" customHeight="false" outlineLevel="0" collapsed="false">
      <c r="B121" s="30"/>
      <c r="C121" s="14"/>
      <c r="D121" s="15" t="s">
        <v>19</v>
      </c>
      <c r="E121" s="16" t="n">
        <v>156812</v>
      </c>
      <c r="F121" s="16" t="n">
        <v>80844</v>
      </c>
      <c r="G121" s="16" t="n">
        <v>42167</v>
      </c>
      <c r="H121" s="16" t="n">
        <v>23805</v>
      </c>
      <c r="I121" s="16" t="n">
        <v>17927</v>
      </c>
      <c r="J121" s="16" t="n">
        <v>16935</v>
      </c>
      <c r="K121" s="7"/>
      <c r="L121" s="7"/>
      <c r="M121" s="16" t="n">
        <v>1269359</v>
      </c>
      <c r="N121" s="16" t="n">
        <v>660532</v>
      </c>
      <c r="O121" s="16" t="n">
        <v>352917</v>
      </c>
      <c r="P121" s="16" t="n">
        <v>195007</v>
      </c>
      <c r="Q121" s="16" t="n">
        <v>158507</v>
      </c>
      <c r="R121" s="16" t="n">
        <v>134216</v>
      </c>
      <c r="S121" s="7"/>
      <c r="T121" s="7"/>
      <c r="U121" s="16" t="n">
        <v>4466367</v>
      </c>
      <c r="V121" s="16" t="n">
        <v>2304350</v>
      </c>
      <c r="W121" s="16" t="n">
        <v>1282211</v>
      </c>
      <c r="X121" s="16" t="n">
        <v>689404</v>
      </c>
      <c r="Y121" s="16" t="n">
        <v>506072</v>
      </c>
      <c r="Z121" s="16" t="n">
        <v>489304</v>
      </c>
      <c r="AA121" s="7"/>
      <c r="AB121" s="7"/>
      <c r="AC121" s="16" t="n">
        <v>10534944</v>
      </c>
      <c r="AD121" s="16" t="n">
        <v>5535891</v>
      </c>
      <c r="AE121" s="16" t="n">
        <v>2982073</v>
      </c>
      <c r="AF121" s="16" t="n">
        <v>1671924</v>
      </c>
      <c r="AG121" s="16" t="n">
        <v>1317745</v>
      </c>
      <c r="AH121" s="16" t="n">
        <v>1364415</v>
      </c>
      <c r="AI121" s="8"/>
    </row>
    <row r="122" customFormat="false" ht="16.4" hidden="false" customHeight="false" outlineLevel="0" collapsed="false">
      <c r="B122" s="30"/>
      <c r="C122" s="14"/>
      <c r="D122" s="15" t="s">
        <v>20</v>
      </c>
      <c r="E122" s="16" t="n">
        <v>157360</v>
      </c>
      <c r="F122" s="16" t="n">
        <v>80817</v>
      </c>
      <c r="G122" s="16" t="n">
        <v>42363</v>
      </c>
      <c r="H122" s="16" t="n">
        <v>23586</v>
      </c>
      <c r="I122" s="16" t="n">
        <v>17494</v>
      </c>
      <c r="J122" s="16" t="n">
        <v>16548</v>
      </c>
      <c r="K122" s="7"/>
      <c r="L122" s="7"/>
      <c r="M122" s="16" t="n">
        <v>1282561</v>
      </c>
      <c r="N122" s="16" t="n">
        <v>660915</v>
      </c>
      <c r="O122" s="16" t="n">
        <v>350404</v>
      </c>
      <c r="P122" s="16" t="n">
        <v>196312</v>
      </c>
      <c r="Q122" s="16" t="n">
        <v>150402</v>
      </c>
      <c r="R122" s="16" t="n">
        <v>131724</v>
      </c>
      <c r="S122" s="7"/>
      <c r="T122" s="7"/>
      <c r="U122" s="16" t="n">
        <v>4461666</v>
      </c>
      <c r="V122" s="16" t="n">
        <v>2305337</v>
      </c>
      <c r="W122" s="16" t="n">
        <v>1248457</v>
      </c>
      <c r="X122" s="16" t="n">
        <v>691105</v>
      </c>
      <c r="Y122" s="16" t="n">
        <v>525294</v>
      </c>
      <c r="Z122" s="16" t="n">
        <v>477885</v>
      </c>
      <c r="AA122" s="7"/>
      <c r="AB122" s="7"/>
      <c r="AC122" s="16" t="n">
        <v>10589686</v>
      </c>
      <c r="AD122" s="16" t="n">
        <v>5531402</v>
      </c>
      <c r="AE122" s="16" t="n">
        <v>2983515</v>
      </c>
      <c r="AF122" s="16" t="n">
        <v>1686761</v>
      </c>
      <c r="AG122" s="16" t="n">
        <v>1261889</v>
      </c>
      <c r="AH122" s="16" t="n">
        <v>1380446</v>
      </c>
      <c r="AI122" s="8"/>
    </row>
    <row r="123" customFormat="false" ht="16.4" hidden="false" customHeight="false" outlineLevel="0" collapsed="false">
      <c r="B123" s="30"/>
      <c r="C123" s="14"/>
      <c r="D123" s="15" t="s">
        <v>21</v>
      </c>
      <c r="E123" s="16" t="n">
        <v>154545</v>
      </c>
      <c r="F123" s="16" t="n">
        <v>80658</v>
      </c>
      <c r="G123" s="16" t="n">
        <v>42161</v>
      </c>
      <c r="H123" s="16" t="n">
        <v>22459</v>
      </c>
      <c r="I123" s="16" t="n">
        <v>17412</v>
      </c>
      <c r="J123" s="16" t="n">
        <v>19113</v>
      </c>
      <c r="K123" s="7"/>
      <c r="L123" s="7"/>
      <c r="M123" s="16" t="n">
        <v>1285740</v>
      </c>
      <c r="N123" s="16" t="n">
        <v>662760</v>
      </c>
      <c r="O123" s="16" t="n">
        <v>354244</v>
      </c>
      <c r="P123" s="16" t="n">
        <v>197939</v>
      </c>
      <c r="Q123" s="16" t="n">
        <v>158318</v>
      </c>
      <c r="R123" s="16" t="n">
        <v>134862</v>
      </c>
      <c r="S123" s="7"/>
      <c r="T123" s="7"/>
      <c r="U123" s="16" t="n">
        <v>4447713</v>
      </c>
      <c r="V123" s="16" t="n">
        <v>2301596</v>
      </c>
      <c r="W123" s="16" t="n">
        <v>1274142</v>
      </c>
      <c r="X123" s="16" t="n">
        <v>692586</v>
      </c>
      <c r="Y123" s="16" t="n">
        <v>532452</v>
      </c>
      <c r="Z123" s="16" t="n">
        <v>490345</v>
      </c>
      <c r="AA123" s="7"/>
      <c r="AB123" s="7"/>
      <c r="AC123" s="16" t="n">
        <v>10721331</v>
      </c>
      <c r="AD123" s="16" t="n">
        <v>5540600</v>
      </c>
      <c r="AE123" s="16" t="n">
        <v>2999568</v>
      </c>
      <c r="AF123" s="16" t="n">
        <v>1674674</v>
      </c>
      <c r="AG123" s="16" t="n">
        <v>1265510</v>
      </c>
      <c r="AH123" s="16" t="n">
        <v>1342817</v>
      </c>
      <c r="AI123" s="8"/>
    </row>
    <row r="124" customFormat="false" ht="16.4" hidden="false" customHeight="false" outlineLevel="0" collapsed="false">
      <c r="B124" s="30"/>
      <c r="C124" s="14"/>
      <c r="D124" s="15" t="s">
        <v>22</v>
      </c>
      <c r="E124" s="16" t="n">
        <v>157294</v>
      </c>
      <c r="F124" s="16" t="n">
        <v>80399</v>
      </c>
      <c r="G124" s="16" t="n">
        <v>42371</v>
      </c>
      <c r="H124" s="16" t="n">
        <v>22876</v>
      </c>
      <c r="I124" s="16" t="n">
        <v>17728</v>
      </c>
      <c r="J124" s="16" t="n">
        <v>16750</v>
      </c>
      <c r="K124" s="7"/>
      <c r="L124" s="7"/>
      <c r="M124" s="16" t="n">
        <v>1266193</v>
      </c>
      <c r="N124" s="16" t="n">
        <v>660115</v>
      </c>
      <c r="O124" s="16" t="n">
        <v>352109</v>
      </c>
      <c r="P124" s="16" t="n">
        <v>195732</v>
      </c>
      <c r="Q124" s="16" t="n">
        <v>157481</v>
      </c>
      <c r="R124" s="16" t="n">
        <v>132338</v>
      </c>
      <c r="S124" s="7"/>
      <c r="T124" s="7"/>
      <c r="U124" s="16" t="n">
        <v>4460805</v>
      </c>
      <c r="V124" s="16" t="n">
        <v>2303997</v>
      </c>
      <c r="W124" s="16" t="n">
        <v>1244443</v>
      </c>
      <c r="X124" s="16" t="n">
        <v>691914</v>
      </c>
      <c r="Y124" s="16" t="n">
        <v>527592</v>
      </c>
      <c r="Z124" s="16" t="n">
        <v>486957</v>
      </c>
      <c r="AA124" s="7"/>
      <c r="AB124" s="7"/>
      <c r="AC124" s="16" t="n">
        <v>10686680</v>
      </c>
      <c r="AD124" s="16" t="n">
        <v>5582760</v>
      </c>
      <c r="AE124" s="16" t="n">
        <v>2992322</v>
      </c>
      <c r="AF124" s="16" t="n">
        <v>1679909</v>
      </c>
      <c r="AG124" s="16" t="n">
        <v>1243262</v>
      </c>
      <c r="AH124" s="16" t="n">
        <v>1391861</v>
      </c>
      <c r="AI124" s="8"/>
    </row>
    <row r="125" customFormat="false" ht="16.4" hidden="false" customHeight="false" outlineLevel="0" collapsed="false">
      <c r="B125" s="30"/>
      <c r="C125" s="14"/>
      <c r="D125" s="15" t="s">
        <v>23</v>
      </c>
      <c r="E125" s="16" t="n">
        <v>156746</v>
      </c>
      <c r="F125" s="16" t="n">
        <v>80527</v>
      </c>
      <c r="G125" s="16" t="n">
        <v>42487</v>
      </c>
      <c r="H125" s="16" t="n">
        <v>23796</v>
      </c>
      <c r="I125" s="16" t="n">
        <v>17788</v>
      </c>
      <c r="J125" s="16" t="n">
        <v>16862</v>
      </c>
      <c r="K125" s="7"/>
      <c r="L125" s="7"/>
      <c r="M125" s="16" t="n">
        <v>1267310</v>
      </c>
      <c r="N125" s="16" t="n">
        <v>662587</v>
      </c>
      <c r="O125" s="16" t="n">
        <v>350431</v>
      </c>
      <c r="P125" s="16" t="n">
        <v>195208</v>
      </c>
      <c r="Q125" s="16" t="n">
        <v>158530</v>
      </c>
      <c r="R125" s="16" t="n">
        <v>136465</v>
      </c>
      <c r="S125" s="7"/>
      <c r="T125" s="7"/>
      <c r="U125" s="16" t="n">
        <v>4372223</v>
      </c>
      <c r="V125" s="16" t="n">
        <v>2304511</v>
      </c>
      <c r="W125" s="16" t="n">
        <v>1248778</v>
      </c>
      <c r="X125" s="16" t="n">
        <v>691703</v>
      </c>
      <c r="Y125" s="16" t="n">
        <v>494237</v>
      </c>
      <c r="Z125" s="16" t="n">
        <v>480724</v>
      </c>
      <c r="AA125" s="7"/>
      <c r="AB125" s="7"/>
      <c r="AC125" s="16" t="n">
        <v>10507070</v>
      </c>
      <c r="AD125" s="16" t="n">
        <v>5553627</v>
      </c>
      <c r="AE125" s="16" t="n">
        <v>2987035</v>
      </c>
      <c r="AF125" s="16" t="n">
        <v>1691333</v>
      </c>
      <c r="AG125" s="16" t="n">
        <v>1289669</v>
      </c>
      <c r="AH125" s="16" t="n">
        <v>1349226</v>
      </c>
      <c r="AI125" s="8"/>
    </row>
    <row r="126" customFormat="false" ht="16.4" hidden="false" customHeight="false" outlineLevel="0" collapsed="false">
      <c r="B126" s="30"/>
      <c r="C126" s="14"/>
      <c r="D126" s="15" t="s">
        <v>24</v>
      </c>
      <c r="E126" s="16" t="n">
        <v>155660</v>
      </c>
      <c r="F126" s="16" t="n">
        <v>80198</v>
      </c>
      <c r="G126" s="16" t="n">
        <v>42875</v>
      </c>
      <c r="H126" s="16" t="n">
        <v>24035</v>
      </c>
      <c r="I126" s="16" t="n">
        <v>17352</v>
      </c>
      <c r="J126" s="16" t="n">
        <v>17104</v>
      </c>
      <c r="K126" s="7"/>
      <c r="L126" s="7"/>
      <c r="M126" s="16" t="n">
        <v>1281594</v>
      </c>
      <c r="N126" s="16" t="n">
        <v>661071</v>
      </c>
      <c r="O126" s="16" t="n">
        <v>352830</v>
      </c>
      <c r="P126" s="16" t="n">
        <v>195736</v>
      </c>
      <c r="Q126" s="16" t="n">
        <v>157453</v>
      </c>
      <c r="R126" s="16" t="n">
        <v>135030</v>
      </c>
      <c r="S126" s="7"/>
      <c r="T126" s="7"/>
      <c r="U126" s="16" t="n">
        <v>4470878</v>
      </c>
      <c r="V126" s="16" t="n">
        <v>2307294</v>
      </c>
      <c r="W126" s="16" t="n">
        <v>1246897</v>
      </c>
      <c r="X126" s="16" t="n">
        <v>691929</v>
      </c>
      <c r="Y126" s="16" t="n">
        <v>532254</v>
      </c>
      <c r="Z126" s="16" t="n">
        <v>481559</v>
      </c>
      <c r="AA126" s="7"/>
      <c r="AB126" s="7"/>
      <c r="AC126" s="16" t="n">
        <v>10556248</v>
      </c>
      <c r="AD126" s="16" t="n">
        <v>5556854</v>
      </c>
      <c r="AE126" s="16" t="n">
        <v>2989530</v>
      </c>
      <c r="AF126" s="16" t="n">
        <v>1684475</v>
      </c>
      <c r="AG126" s="16" t="n">
        <v>1307113</v>
      </c>
      <c r="AH126" s="16" t="n">
        <v>1323622</v>
      </c>
      <c r="AI126" s="8"/>
    </row>
    <row r="127" customFormat="false" ht="16.4" hidden="false" customHeight="false" outlineLevel="0" collapsed="false">
      <c r="B127" s="30"/>
      <c r="C127" s="14"/>
      <c r="D127" s="15" t="s">
        <v>25</v>
      </c>
      <c r="E127" s="16" t="n">
        <v>154795</v>
      </c>
      <c r="F127" s="16" t="n">
        <v>80307</v>
      </c>
      <c r="G127" s="16" t="n">
        <v>42506</v>
      </c>
      <c r="H127" s="16" t="n">
        <v>23374</v>
      </c>
      <c r="I127" s="16" t="n">
        <v>17585</v>
      </c>
      <c r="J127" s="16" t="n">
        <v>21973</v>
      </c>
      <c r="K127" s="7"/>
      <c r="L127" s="7"/>
      <c r="M127" s="16" t="n">
        <v>1279165</v>
      </c>
      <c r="N127" s="16" t="n">
        <v>661729</v>
      </c>
      <c r="O127" s="16" t="n">
        <v>350292</v>
      </c>
      <c r="P127" s="16" t="n">
        <v>196664</v>
      </c>
      <c r="Q127" s="16" t="n">
        <v>157174</v>
      </c>
      <c r="R127" s="16" t="n">
        <v>141217</v>
      </c>
      <c r="S127" s="7"/>
      <c r="T127" s="7"/>
      <c r="U127" s="16" t="n">
        <v>4380953</v>
      </c>
      <c r="V127" s="16" t="n">
        <v>2304717</v>
      </c>
      <c r="W127" s="16" t="n">
        <v>1246463</v>
      </c>
      <c r="X127" s="16" t="n">
        <v>693651</v>
      </c>
      <c r="Y127" s="16" t="n">
        <v>532458</v>
      </c>
      <c r="Z127" s="16" t="n">
        <v>478173</v>
      </c>
      <c r="AA127" s="7"/>
      <c r="AB127" s="7"/>
      <c r="AC127" s="16" t="n">
        <v>10493955</v>
      </c>
      <c r="AD127" s="16" t="n">
        <v>5581913</v>
      </c>
      <c r="AE127" s="16" t="n">
        <v>2980882</v>
      </c>
      <c r="AF127" s="16" t="n">
        <v>1683454</v>
      </c>
      <c r="AG127" s="16" t="n">
        <v>1248668</v>
      </c>
      <c r="AH127" s="16" t="n">
        <v>1349679</v>
      </c>
      <c r="AI127" s="8"/>
    </row>
    <row r="128" customFormat="false" ht="16.4" hidden="false" customHeight="false" outlineLevel="0" collapsed="false">
      <c r="B128" s="30"/>
      <c r="C128" s="14"/>
      <c r="D128" s="15" t="s">
        <v>26</v>
      </c>
      <c r="E128" s="16" t="n">
        <v>154551</v>
      </c>
      <c r="F128" s="16" t="n">
        <v>80947</v>
      </c>
      <c r="G128" s="16" t="n">
        <v>42391</v>
      </c>
      <c r="H128" s="16" t="n">
        <v>23351</v>
      </c>
      <c r="I128" s="16" t="n">
        <v>17812</v>
      </c>
      <c r="J128" s="16" t="n">
        <v>16173</v>
      </c>
      <c r="K128" s="7"/>
      <c r="L128" s="7"/>
      <c r="M128" s="16" t="n">
        <v>1279579</v>
      </c>
      <c r="N128" s="16" t="n">
        <v>661772</v>
      </c>
      <c r="O128" s="16" t="n">
        <v>351312</v>
      </c>
      <c r="P128" s="16" t="n">
        <v>196675</v>
      </c>
      <c r="Q128" s="16" t="n">
        <v>151773</v>
      </c>
      <c r="R128" s="16" t="n">
        <v>135123</v>
      </c>
      <c r="S128" s="7"/>
      <c r="T128" s="7"/>
      <c r="U128" s="16" t="n">
        <v>4432835</v>
      </c>
      <c r="V128" s="16" t="n">
        <v>2331446</v>
      </c>
      <c r="W128" s="16" t="n">
        <v>1248053</v>
      </c>
      <c r="X128" s="16" t="n">
        <v>693596</v>
      </c>
      <c r="Y128" s="16" t="n">
        <v>515309</v>
      </c>
      <c r="Z128" s="16" t="n">
        <v>478950</v>
      </c>
      <c r="AA128" s="7"/>
      <c r="AB128" s="7"/>
      <c r="AC128" s="16" t="n">
        <v>10478580</v>
      </c>
      <c r="AD128" s="16" t="n">
        <v>5564055</v>
      </c>
      <c r="AE128" s="16" t="n">
        <v>2995240</v>
      </c>
      <c r="AF128" s="16" t="n">
        <v>1685885</v>
      </c>
      <c r="AG128" s="16" t="n">
        <v>1251037</v>
      </c>
      <c r="AH128" s="16" t="n">
        <v>1349448</v>
      </c>
      <c r="AI128" s="8"/>
    </row>
    <row r="129" customFormat="false" ht="16.4" hidden="false" customHeight="false" outlineLevel="0" collapsed="false">
      <c r="B129" s="30"/>
      <c r="C129" s="14"/>
      <c r="D129" s="15" t="s">
        <v>27</v>
      </c>
      <c r="E129" s="16" t="n">
        <v>156139</v>
      </c>
      <c r="F129" s="16" t="n">
        <v>80364</v>
      </c>
      <c r="G129" s="16" t="n">
        <v>42976</v>
      </c>
      <c r="H129" s="16" t="n">
        <v>22801</v>
      </c>
      <c r="I129" s="16" t="n">
        <v>17519</v>
      </c>
      <c r="J129" s="16" t="n">
        <v>17266</v>
      </c>
      <c r="K129" s="7"/>
      <c r="L129" s="7"/>
      <c r="M129" s="16" t="n">
        <v>1282626</v>
      </c>
      <c r="N129" s="16" t="n">
        <v>659349</v>
      </c>
      <c r="O129" s="16" t="n">
        <v>354646</v>
      </c>
      <c r="P129" s="16" t="n">
        <v>196502</v>
      </c>
      <c r="Q129" s="16" t="n">
        <v>152099</v>
      </c>
      <c r="R129" s="16" t="n">
        <v>132282</v>
      </c>
      <c r="S129" s="7"/>
      <c r="T129" s="7"/>
      <c r="U129" s="16" t="n">
        <v>4389968</v>
      </c>
      <c r="V129" s="16" t="n">
        <v>2302375</v>
      </c>
      <c r="W129" s="16" t="n">
        <v>1248923</v>
      </c>
      <c r="X129" s="16" t="n">
        <v>695097</v>
      </c>
      <c r="Y129" s="16" t="n">
        <v>533212</v>
      </c>
      <c r="Z129" s="16" t="n">
        <v>476589</v>
      </c>
      <c r="AA129" s="7"/>
      <c r="AB129" s="7"/>
      <c r="AC129" s="16" t="n">
        <v>10547599</v>
      </c>
      <c r="AD129" s="16" t="n">
        <v>5530255</v>
      </c>
      <c r="AE129" s="16" t="n">
        <v>2989829</v>
      </c>
      <c r="AF129" s="16" t="n">
        <v>1683594</v>
      </c>
      <c r="AG129" s="16" t="n">
        <v>1331465</v>
      </c>
      <c r="AH129" s="16" t="n">
        <v>1330424</v>
      </c>
      <c r="AI129" s="8"/>
    </row>
    <row r="130" customFormat="false" ht="16.4" hidden="false" customHeight="false" outlineLevel="0" collapsed="false">
      <c r="B130" s="30"/>
      <c r="C130" s="14"/>
      <c r="D130" s="15" t="s">
        <v>28</v>
      </c>
      <c r="E130" s="16" t="n">
        <v>157407</v>
      </c>
      <c r="F130" s="16" t="n">
        <v>80421</v>
      </c>
      <c r="G130" s="16" t="n">
        <v>42649</v>
      </c>
      <c r="H130" s="16" t="n">
        <v>23146</v>
      </c>
      <c r="I130" s="16" t="n">
        <v>17683</v>
      </c>
      <c r="J130" s="16" t="n">
        <v>17154</v>
      </c>
      <c r="K130" s="7"/>
      <c r="L130" s="7"/>
      <c r="M130" s="16" t="n">
        <v>1279838</v>
      </c>
      <c r="N130" s="16" t="n">
        <v>661033</v>
      </c>
      <c r="O130" s="16" t="n">
        <v>354345</v>
      </c>
      <c r="P130" s="16" t="n">
        <v>195886</v>
      </c>
      <c r="Q130" s="16" t="n">
        <v>151310</v>
      </c>
      <c r="R130" s="16" t="n">
        <v>135394</v>
      </c>
      <c r="S130" s="7"/>
      <c r="T130" s="7"/>
      <c r="U130" s="16" t="n">
        <v>4374781</v>
      </c>
      <c r="V130" s="16" t="n">
        <v>2295311</v>
      </c>
      <c r="W130" s="16" t="n">
        <v>1243391</v>
      </c>
      <c r="X130" s="16" t="n">
        <v>696327</v>
      </c>
      <c r="Y130" s="16" t="n">
        <v>523288</v>
      </c>
      <c r="Z130" s="16" t="n">
        <v>481322</v>
      </c>
      <c r="AA130" s="7"/>
      <c r="AB130" s="7"/>
      <c r="AC130" s="16" t="n">
        <v>10522298</v>
      </c>
      <c r="AD130" s="16" t="n">
        <v>5544075</v>
      </c>
      <c r="AE130" s="16" t="n">
        <v>2987110</v>
      </c>
      <c r="AF130" s="16" t="n">
        <v>1689713</v>
      </c>
      <c r="AG130" s="16" t="n">
        <v>1269144</v>
      </c>
      <c r="AH130" s="16" t="n">
        <v>1369979</v>
      </c>
      <c r="AI130" s="8"/>
    </row>
    <row r="131" customFormat="false" ht="16.4" hidden="false" customHeight="false" outlineLevel="0" collapsed="false">
      <c r="B131" s="30"/>
      <c r="C131" s="14"/>
      <c r="D131" s="15" t="s">
        <v>29</v>
      </c>
      <c r="E131" s="16" t="n">
        <v>157093</v>
      </c>
      <c r="F131" s="16" t="n">
        <v>80408</v>
      </c>
      <c r="G131" s="16" t="n">
        <v>42126</v>
      </c>
      <c r="H131" s="16" t="n">
        <v>23186</v>
      </c>
      <c r="I131" s="16" t="n">
        <v>17786</v>
      </c>
      <c r="J131" s="16" t="n">
        <v>22293</v>
      </c>
      <c r="K131" s="7"/>
      <c r="L131" s="7"/>
      <c r="M131" s="16" t="n">
        <v>1276645</v>
      </c>
      <c r="N131" s="16" t="n">
        <v>661532</v>
      </c>
      <c r="O131" s="16" t="n">
        <v>349940</v>
      </c>
      <c r="P131" s="16" t="n">
        <v>197135</v>
      </c>
      <c r="Q131" s="16" t="n">
        <v>157204</v>
      </c>
      <c r="R131" s="16" t="n">
        <v>137330</v>
      </c>
      <c r="S131" s="7"/>
      <c r="T131" s="7"/>
      <c r="U131" s="16" t="n">
        <v>4580472</v>
      </c>
      <c r="V131" s="16" t="n">
        <v>2292921</v>
      </c>
      <c r="W131" s="16" t="n">
        <v>1245107</v>
      </c>
      <c r="X131" s="16" t="n">
        <v>695524</v>
      </c>
      <c r="Y131" s="16" t="n">
        <v>546835</v>
      </c>
      <c r="Z131" s="16" t="n">
        <v>475281</v>
      </c>
      <c r="AA131" s="7"/>
      <c r="AB131" s="7"/>
      <c r="AC131" s="16" t="n">
        <v>10560491</v>
      </c>
      <c r="AD131" s="16" t="n">
        <v>5546817</v>
      </c>
      <c r="AE131" s="16" t="n">
        <v>2989745</v>
      </c>
      <c r="AF131" s="16" t="n">
        <v>1685074</v>
      </c>
      <c r="AG131" s="16" t="n">
        <v>1270611</v>
      </c>
      <c r="AH131" s="16" t="n">
        <v>1336718</v>
      </c>
      <c r="AI131" s="8"/>
    </row>
    <row r="132" customFormat="false" ht="16.4" hidden="false" customHeight="false" outlineLevel="0" collapsed="false">
      <c r="B132" s="30"/>
      <c r="C132" s="14"/>
      <c r="D132" s="15" t="s">
        <v>30</v>
      </c>
      <c r="E132" s="16" t="n">
        <v>156941</v>
      </c>
      <c r="F132" s="16" t="n">
        <v>80416</v>
      </c>
      <c r="G132" s="16" t="n">
        <v>42864</v>
      </c>
      <c r="H132" s="16" t="n">
        <v>23467</v>
      </c>
      <c r="I132" s="16" t="n">
        <v>17180</v>
      </c>
      <c r="J132" s="16" t="n">
        <v>15579</v>
      </c>
      <c r="K132" s="7"/>
      <c r="L132" s="7"/>
      <c r="M132" s="16" t="n">
        <v>1283344</v>
      </c>
      <c r="N132" s="16" t="n">
        <v>660973</v>
      </c>
      <c r="O132" s="16" t="n">
        <v>350320</v>
      </c>
      <c r="P132" s="16" t="n">
        <v>196961</v>
      </c>
      <c r="Q132" s="16" t="n">
        <v>138311</v>
      </c>
      <c r="R132" s="16" t="n">
        <v>136685</v>
      </c>
      <c r="S132" s="7"/>
      <c r="T132" s="7"/>
      <c r="U132" s="16" t="n">
        <v>4446621</v>
      </c>
      <c r="V132" s="16" t="n">
        <v>2301179</v>
      </c>
      <c r="W132" s="16" t="n">
        <v>1249734</v>
      </c>
      <c r="X132" s="16" t="n">
        <v>696674</v>
      </c>
      <c r="Y132" s="16" t="n">
        <v>550363</v>
      </c>
      <c r="Z132" s="16" t="n">
        <v>491733</v>
      </c>
      <c r="AA132" s="7"/>
      <c r="AB132" s="7"/>
      <c r="AC132" s="16" t="n">
        <v>10659803</v>
      </c>
      <c r="AD132" s="16" t="n">
        <v>5555190</v>
      </c>
      <c r="AE132" s="16" t="n">
        <v>2988478</v>
      </c>
      <c r="AF132" s="16" t="n">
        <v>1686656</v>
      </c>
      <c r="AG132" s="16" t="n">
        <v>1302109</v>
      </c>
      <c r="AH132" s="16" t="n">
        <v>1341319</v>
      </c>
      <c r="AI132" s="8"/>
    </row>
    <row r="133" customFormat="false" ht="16.4" hidden="false" customHeight="false" outlineLevel="0" collapsed="false">
      <c r="B133" s="30"/>
      <c r="C133" s="14"/>
      <c r="D133" s="15" t="s">
        <v>31</v>
      </c>
      <c r="E133" s="16" t="n">
        <v>156300</v>
      </c>
      <c r="F133" s="16" t="n">
        <v>80764</v>
      </c>
      <c r="G133" s="16" t="n">
        <v>42654</v>
      </c>
      <c r="H133" s="16" t="n">
        <v>22792</v>
      </c>
      <c r="I133" s="16" t="n">
        <v>18444</v>
      </c>
      <c r="J133" s="16" t="n">
        <v>16851</v>
      </c>
      <c r="K133" s="7"/>
      <c r="L133" s="7"/>
      <c r="M133" s="16" t="n">
        <v>1281305</v>
      </c>
      <c r="N133" s="16" t="n">
        <v>658379</v>
      </c>
      <c r="O133" s="16" t="n">
        <v>353448</v>
      </c>
      <c r="P133" s="16" t="n">
        <v>197440</v>
      </c>
      <c r="Q133" s="16" t="n">
        <v>152652</v>
      </c>
      <c r="R133" s="16" t="n">
        <v>136411</v>
      </c>
      <c r="S133" s="7"/>
      <c r="T133" s="7"/>
      <c r="U133" s="16" t="n">
        <v>4459155</v>
      </c>
      <c r="V133" s="16" t="n">
        <v>2299474</v>
      </c>
      <c r="W133" s="16" t="n">
        <v>1249698</v>
      </c>
      <c r="X133" s="16" t="n">
        <v>696222</v>
      </c>
      <c r="Y133" s="16" t="n">
        <v>550014</v>
      </c>
      <c r="Z133" s="16" t="n">
        <v>486146</v>
      </c>
      <c r="AA133" s="7"/>
      <c r="AB133" s="7"/>
      <c r="AC133" s="16" t="n">
        <v>10453175</v>
      </c>
      <c r="AD133" s="16" t="n">
        <v>5649396</v>
      </c>
      <c r="AE133" s="16" t="n">
        <v>3020430</v>
      </c>
      <c r="AF133" s="16" t="n">
        <v>1688354</v>
      </c>
      <c r="AG133" s="16" t="n">
        <v>1297119</v>
      </c>
      <c r="AH133" s="16" t="n">
        <v>1473532</v>
      </c>
      <c r="AI133" s="8"/>
    </row>
    <row r="134" customFormat="false" ht="16.4" hidden="false" customHeight="false" outlineLevel="0" collapsed="false">
      <c r="B134" s="30"/>
      <c r="C134" s="14"/>
      <c r="D134" s="15" t="s">
        <v>32</v>
      </c>
      <c r="E134" s="16" t="n">
        <v>154649</v>
      </c>
      <c r="F134" s="16" t="n">
        <v>81344</v>
      </c>
      <c r="G134" s="16" t="n">
        <v>42431</v>
      </c>
      <c r="H134" s="16" t="n">
        <v>23453</v>
      </c>
      <c r="I134" s="16" t="n">
        <v>17557</v>
      </c>
      <c r="J134" s="16" t="n">
        <v>18388</v>
      </c>
      <c r="K134" s="7"/>
      <c r="L134" s="7"/>
      <c r="M134" s="16" t="n">
        <v>1279446</v>
      </c>
      <c r="N134" s="16" t="n">
        <v>658622</v>
      </c>
      <c r="O134" s="16" t="n">
        <v>355587</v>
      </c>
      <c r="P134" s="16" t="n">
        <v>197111</v>
      </c>
      <c r="Q134" s="16" t="n">
        <v>152350</v>
      </c>
      <c r="R134" s="16" t="n">
        <v>137367</v>
      </c>
      <c r="S134" s="7"/>
      <c r="T134" s="7"/>
      <c r="U134" s="16" t="n">
        <v>4470630</v>
      </c>
      <c r="V134" s="16" t="n">
        <v>2301357</v>
      </c>
      <c r="W134" s="16" t="n">
        <v>1243942</v>
      </c>
      <c r="X134" s="16" t="n">
        <v>696515</v>
      </c>
      <c r="Y134" s="16" t="n">
        <v>527953</v>
      </c>
      <c r="Z134" s="16" t="n">
        <v>491558</v>
      </c>
      <c r="AA134" s="7"/>
      <c r="AB134" s="7"/>
      <c r="AC134" s="16" t="n">
        <v>10678816</v>
      </c>
      <c r="AD134" s="16" t="n">
        <v>5546276</v>
      </c>
      <c r="AE134" s="16" t="n">
        <v>2993841</v>
      </c>
      <c r="AF134" s="16" t="n">
        <v>1690400</v>
      </c>
      <c r="AG134" s="16" t="n">
        <v>1299379</v>
      </c>
      <c r="AH134" s="16" t="n">
        <v>1358468</v>
      </c>
      <c r="AI134" s="8"/>
    </row>
    <row r="135" customFormat="false" ht="16.4" hidden="false" customHeight="false" outlineLevel="0" collapsed="false">
      <c r="B135" s="30"/>
      <c r="C135" s="14"/>
      <c r="D135" s="15" t="s">
        <v>33</v>
      </c>
      <c r="E135" s="16" t="n">
        <v>154454</v>
      </c>
      <c r="F135" s="16" t="n">
        <v>80596</v>
      </c>
      <c r="G135" s="16" t="n">
        <v>42171</v>
      </c>
      <c r="H135" s="16" t="n">
        <v>24457</v>
      </c>
      <c r="I135" s="16" t="n">
        <v>17991</v>
      </c>
      <c r="J135" s="16" t="n">
        <v>15911</v>
      </c>
      <c r="K135" s="7"/>
      <c r="L135" s="7"/>
      <c r="M135" s="16" t="n">
        <v>1275967</v>
      </c>
      <c r="N135" s="16" t="n">
        <v>661525</v>
      </c>
      <c r="O135" s="16" t="n">
        <v>355208</v>
      </c>
      <c r="P135" s="16" t="n">
        <v>197287</v>
      </c>
      <c r="Q135" s="16" t="n">
        <v>153642</v>
      </c>
      <c r="R135" s="16" t="n">
        <v>131013</v>
      </c>
      <c r="S135" s="7"/>
      <c r="T135" s="7"/>
      <c r="U135" s="16" t="n">
        <v>4453300</v>
      </c>
      <c r="V135" s="16" t="n">
        <v>2330954</v>
      </c>
      <c r="W135" s="16" t="n">
        <v>1242700</v>
      </c>
      <c r="X135" s="16" t="n">
        <v>696772</v>
      </c>
      <c r="Y135" s="16" t="n">
        <v>544809</v>
      </c>
      <c r="Z135" s="16" t="n">
        <v>491410</v>
      </c>
      <c r="AA135" s="7"/>
      <c r="AB135" s="7"/>
      <c r="AC135" s="16" t="n">
        <v>10658325</v>
      </c>
      <c r="AD135" s="16" t="n">
        <v>5552683</v>
      </c>
      <c r="AE135" s="16" t="n">
        <v>3001074</v>
      </c>
      <c r="AF135" s="16" t="n">
        <v>1691017</v>
      </c>
      <c r="AG135" s="16" t="n">
        <v>1293311</v>
      </c>
      <c r="AH135" s="16" t="n">
        <v>1358111</v>
      </c>
      <c r="AI135" s="8"/>
    </row>
    <row r="136" customFormat="false" ht="16.4" hidden="false" customHeight="false" outlineLevel="0" collapsed="false">
      <c r="B136" s="30"/>
      <c r="C136" s="14"/>
      <c r="D136" s="15" t="s">
        <v>34</v>
      </c>
      <c r="E136" s="16" t="n">
        <v>154039</v>
      </c>
      <c r="F136" s="16" t="n">
        <v>80667</v>
      </c>
      <c r="G136" s="16" t="n">
        <v>41942</v>
      </c>
      <c r="H136" s="16" t="n">
        <v>23275</v>
      </c>
      <c r="I136" s="16" t="n">
        <v>17724</v>
      </c>
      <c r="J136" s="16" t="n">
        <v>17030</v>
      </c>
      <c r="K136" s="7"/>
      <c r="L136" s="7"/>
      <c r="M136" s="16" t="n">
        <v>1265712</v>
      </c>
      <c r="N136" s="16" t="n">
        <v>661852</v>
      </c>
      <c r="O136" s="16" t="n">
        <v>351040</v>
      </c>
      <c r="P136" s="16" t="n">
        <v>197433</v>
      </c>
      <c r="Q136" s="16" t="n">
        <v>152887</v>
      </c>
      <c r="R136" s="16" t="n">
        <v>135963</v>
      </c>
      <c r="S136" s="7"/>
      <c r="T136" s="7"/>
      <c r="U136" s="16" t="n">
        <v>4588035</v>
      </c>
      <c r="V136" s="16" t="n">
        <v>2303724</v>
      </c>
      <c r="W136" s="16" t="n">
        <v>1242977</v>
      </c>
      <c r="X136" s="16" t="n">
        <v>699066</v>
      </c>
      <c r="Y136" s="16" t="n">
        <v>518782</v>
      </c>
      <c r="Z136" s="16" t="n">
        <v>475117</v>
      </c>
      <c r="AA136" s="7"/>
      <c r="AB136" s="7"/>
      <c r="AC136" s="16" t="n">
        <v>10500993</v>
      </c>
      <c r="AD136" s="16" t="n">
        <v>5555376</v>
      </c>
      <c r="AE136" s="16" t="n">
        <v>2996648</v>
      </c>
      <c r="AF136" s="16" t="n">
        <v>1690405</v>
      </c>
      <c r="AG136" s="16" t="n">
        <v>1240412</v>
      </c>
      <c r="AH136" s="16" t="n">
        <v>1337268</v>
      </c>
      <c r="AI136" s="8"/>
    </row>
    <row r="137" customFormat="false" ht="16.4" hidden="false" customHeight="false" outlineLevel="0" collapsed="false">
      <c r="B137" s="30"/>
      <c r="C137" s="14"/>
      <c r="D137" s="15" t="s">
        <v>35</v>
      </c>
      <c r="E137" s="16" t="n">
        <v>154965</v>
      </c>
      <c r="F137" s="16" t="n">
        <v>80294</v>
      </c>
      <c r="G137" s="16" t="n">
        <v>42637</v>
      </c>
      <c r="H137" s="16" t="n">
        <v>23367</v>
      </c>
      <c r="I137" s="16" t="n">
        <v>17673</v>
      </c>
      <c r="J137" s="16" t="n">
        <v>19879</v>
      </c>
      <c r="K137" s="7"/>
      <c r="L137" s="7"/>
      <c r="M137" s="16" t="n">
        <v>1283441</v>
      </c>
      <c r="N137" s="16" t="n">
        <v>659070</v>
      </c>
      <c r="O137" s="16" t="n">
        <v>351573</v>
      </c>
      <c r="P137" s="16" t="n">
        <v>197704</v>
      </c>
      <c r="Q137" s="16" t="n">
        <v>148911</v>
      </c>
      <c r="R137" s="16" t="n">
        <v>134715</v>
      </c>
      <c r="S137" s="7"/>
      <c r="T137" s="7"/>
      <c r="U137" s="16" t="n">
        <v>4484504</v>
      </c>
      <c r="V137" s="16" t="n">
        <v>2307452</v>
      </c>
      <c r="W137" s="16" t="n">
        <v>1251444</v>
      </c>
      <c r="X137" s="16" t="n">
        <v>698546</v>
      </c>
      <c r="Y137" s="16" t="n">
        <v>543803</v>
      </c>
      <c r="Z137" s="16" t="n">
        <v>579981</v>
      </c>
      <c r="AA137" s="7"/>
      <c r="AB137" s="7"/>
      <c r="AC137" s="16" t="n">
        <v>10547900</v>
      </c>
      <c r="AD137" s="16" t="n">
        <v>5559526</v>
      </c>
      <c r="AE137" s="16" t="n">
        <v>2988660</v>
      </c>
      <c r="AF137" s="16" t="n">
        <v>1694638</v>
      </c>
      <c r="AG137" s="16" t="n">
        <v>1275574</v>
      </c>
      <c r="AH137" s="16" t="n">
        <v>1361769</v>
      </c>
      <c r="AI137" s="8"/>
    </row>
    <row r="138" customFormat="false" ht="16.4" hidden="false" customHeight="false" outlineLevel="0" collapsed="false">
      <c r="B138" s="30"/>
      <c r="C138" s="14"/>
      <c r="D138" s="15" t="s">
        <v>36</v>
      </c>
      <c r="E138" s="16" t="n">
        <v>154509</v>
      </c>
      <c r="F138" s="16" t="n">
        <v>80396</v>
      </c>
      <c r="G138" s="16" t="n">
        <v>42541</v>
      </c>
      <c r="H138" s="16" t="n">
        <v>23335</v>
      </c>
      <c r="I138" s="16" t="n">
        <v>17639</v>
      </c>
      <c r="J138" s="16" t="n">
        <v>17543</v>
      </c>
      <c r="K138" s="7"/>
      <c r="L138" s="7"/>
      <c r="M138" s="16" t="n">
        <v>1290369</v>
      </c>
      <c r="N138" s="16" t="n">
        <v>657987</v>
      </c>
      <c r="O138" s="16" t="n">
        <v>352260</v>
      </c>
      <c r="P138" s="16" t="n">
        <v>197256</v>
      </c>
      <c r="Q138" s="16" t="n">
        <v>154900</v>
      </c>
      <c r="R138" s="16" t="n">
        <v>140578</v>
      </c>
      <c r="S138" s="7"/>
      <c r="T138" s="7"/>
      <c r="U138" s="16" t="n">
        <v>4425906</v>
      </c>
      <c r="V138" s="16" t="n">
        <v>2310186</v>
      </c>
      <c r="W138" s="16" t="n">
        <v>1257335</v>
      </c>
      <c r="X138" s="16" t="n">
        <v>697756</v>
      </c>
      <c r="Y138" s="16" t="n">
        <v>521974</v>
      </c>
      <c r="Z138" s="16" t="n">
        <v>499031</v>
      </c>
      <c r="AA138" s="7"/>
      <c r="AB138" s="7"/>
      <c r="AC138" s="16" t="n">
        <v>10604570</v>
      </c>
      <c r="AD138" s="16" t="n">
        <v>5553905</v>
      </c>
      <c r="AE138" s="16" t="n">
        <v>3007016</v>
      </c>
      <c r="AF138" s="16" t="n">
        <v>1730055</v>
      </c>
      <c r="AG138" s="16" t="n">
        <v>1237328</v>
      </c>
      <c r="AH138" s="16" t="n">
        <v>1379699</v>
      </c>
      <c r="AI138" s="8"/>
    </row>
    <row r="139" customFormat="false" ht="16.4" hidden="false" customHeight="false" outlineLevel="0" collapsed="false">
      <c r="B139" s="30"/>
      <c r="C139" s="14"/>
      <c r="D139" s="15" t="s">
        <v>37</v>
      </c>
      <c r="E139" s="16" t="n">
        <v>154241</v>
      </c>
      <c r="F139" s="16" t="n">
        <v>80646</v>
      </c>
      <c r="G139" s="16" t="n">
        <v>42290</v>
      </c>
      <c r="H139" s="16" t="n">
        <v>23218</v>
      </c>
      <c r="I139" s="16" t="n">
        <v>17907</v>
      </c>
      <c r="J139" s="16" t="n">
        <v>16668</v>
      </c>
      <c r="K139" s="7"/>
      <c r="L139" s="7"/>
      <c r="M139" s="16" t="n">
        <v>1282215</v>
      </c>
      <c r="N139" s="16" t="n">
        <v>659097</v>
      </c>
      <c r="O139" s="16" t="n">
        <v>355477</v>
      </c>
      <c r="P139" s="16" t="n">
        <v>197765</v>
      </c>
      <c r="Q139" s="16" t="n">
        <v>157760</v>
      </c>
      <c r="R139" s="16" t="n">
        <v>136416</v>
      </c>
      <c r="S139" s="7"/>
      <c r="T139" s="7"/>
      <c r="U139" s="16" t="n">
        <v>4444504</v>
      </c>
      <c r="V139" s="16" t="n">
        <v>2312706</v>
      </c>
      <c r="W139" s="16" t="n">
        <v>1249614</v>
      </c>
      <c r="X139" s="16" t="n">
        <v>700456</v>
      </c>
      <c r="Y139" s="16" t="n">
        <v>546512</v>
      </c>
      <c r="Z139" s="16" t="n">
        <v>485700</v>
      </c>
      <c r="AA139" s="7"/>
      <c r="AB139" s="7"/>
      <c r="AC139" s="16" t="n">
        <v>10666099</v>
      </c>
      <c r="AD139" s="16" t="n">
        <v>5664979</v>
      </c>
      <c r="AE139" s="16" t="n">
        <v>2997538</v>
      </c>
      <c r="AF139" s="16" t="n">
        <v>1696384</v>
      </c>
      <c r="AG139" s="16" t="n">
        <v>1285642</v>
      </c>
      <c r="AH139" s="16" t="n">
        <v>1333374</v>
      </c>
      <c r="AI139" s="8"/>
    </row>
    <row r="140" customFormat="false" ht="16.4" hidden="false" customHeight="false" outlineLevel="0" collapsed="false">
      <c r="B140" s="30"/>
      <c r="C140" s="14"/>
      <c r="D140" s="15" t="s">
        <v>38</v>
      </c>
      <c r="E140" s="16" t="n">
        <v>157492</v>
      </c>
      <c r="F140" s="16" t="n">
        <v>80422</v>
      </c>
      <c r="G140" s="16" t="n">
        <v>42276</v>
      </c>
      <c r="H140" s="16" t="n">
        <v>24494</v>
      </c>
      <c r="I140" s="16" t="n">
        <v>17175</v>
      </c>
      <c r="J140" s="16" t="n">
        <v>17301</v>
      </c>
      <c r="K140" s="7"/>
      <c r="L140" s="7"/>
      <c r="M140" s="16" t="n">
        <v>1287020</v>
      </c>
      <c r="N140" s="16" t="n">
        <v>664940</v>
      </c>
      <c r="O140" s="16" t="n">
        <v>354228</v>
      </c>
      <c r="P140" s="16" t="n">
        <v>197399</v>
      </c>
      <c r="Q140" s="16" t="n">
        <v>151364</v>
      </c>
      <c r="R140" s="16" t="n">
        <v>137482</v>
      </c>
      <c r="S140" s="7"/>
      <c r="T140" s="7"/>
      <c r="U140" s="16" t="n">
        <v>4442077</v>
      </c>
      <c r="V140" s="16" t="n">
        <v>2305903</v>
      </c>
      <c r="W140" s="16" t="n">
        <v>1248325</v>
      </c>
      <c r="X140" s="16" t="n">
        <v>701775</v>
      </c>
      <c r="Y140" s="16" t="n">
        <v>505586</v>
      </c>
      <c r="Z140" s="16" t="n">
        <v>494775</v>
      </c>
      <c r="AA140" s="7"/>
      <c r="AB140" s="7"/>
      <c r="AC140" s="16" t="n">
        <v>10540140</v>
      </c>
      <c r="AD140" s="16" t="n">
        <v>5585967</v>
      </c>
      <c r="AE140" s="16" t="n">
        <v>2989586</v>
      </c>
      <c r="AF140" s="16" t="n">
        <v>1696007</v>
      </c>
      <c r="AG140" s="16" t="n">
        <v>1259241</v>
      </c>
      <c r="AH140" s="16" t="n">
        <v>1336561</v>
      </c>
      <c r="AI140" s="8"/>
    </row>
    <row r="141" customFormat="false" ht="16.4" hidden="false" customHeight="false" outlineLevel="0" collapsed="false">
      <c r="B141" s="30"/>
      <c r="C141" s="14"/>
      <c r="D141" s="15" t="s">
        <v>39</v>
      </c>
      <c r="E141" s="16" t="n">
        <v>157038</v>
      </c>
      <c r="F141" s="16" t="n">
        <v>80784</v>
      </c>
      <c r="G141" s="16" t="n">
        <v>42289</v>
      </c>
      <c r="H141" s="16" t="n">
        <v>23149</v>
      </c>
      <c r="I141" s="16" t="n">
        <v>17535</v>
      </c>
      <c r="J141" s="16" t="n">
        <v>19023</v>
      </c>
      <c r="K141" s="7"/>
      <c r="L141" s="7"/>
      <c r="M141" s="16" t="n">
        <v>1255968</v>
      </c>
      <c r="N141" s="16" t="n">
        <v>662620</v>
      </c>
      <c r="O141" s="16" t="n">
        <v>354810</v>
      </c>
      <c r="P141" s="16" t="n">
        <v>198000</v>
      </c>
      <c r="Q141" s="16" t="n">
        <v>158112</v>
      </c>
      <c r="R141" s="16" t="n">
        <v>138139</v>
      </c>
      <c r="S141" s="7"/>
      <c r="T141" s="7"/>
      <c r="U141" s="16" t="n">
        <v>4434507</v>
      </c>
      <c r="V141" s="16" t="n">
        <v>2294916</v>
      </c>
      <c r="W141" s="16" t="n">
        <v>1242234</v>
      </c>
      <c r="X141" s="16" t="n">
        <v>702744</v>
      </c>
      <c r="Y141" s="16" t="n">
        <v>522497</v>
      </c>
      <c r="Z141" s="16" t="n">
        <v>495441</v>
      </c>
      <c r="AA141" s="7"/>
      <c r="AB141" s="7"/>
      <c r="AC141" s="16" t="n">
        <v>10465655</v>
      </c>
      <c r="AD141" s="16" t="n">
        <v>5566759</v>
      </c>
      <c r="AE141" s="16" t="n">
        <v>2989330</v>
      </c>
      <c r="AF141" s="16" t="n">
        <v>1697214</v>
      </c>
      <c r="AG141" s="16" t="n">
        <v>1161422</v>
      </c>
      <c r="AH141" s="16" t="n">
        <v>1366275</v>
      </c>
      <c r="AI141" s="8"/>
    </row>
    <row r="142" customFormat="false" ht="16.4" hidden="false" customHeight="false" outlineLevel="0" collapsed="false">
      <c r="B142" s="30"/>
      <c r="C142" s="14"/>
      <c r="D142" s="15" t="s">
        <v>40</v>
      </c>
      <c r="E142" s="16" t="n">
        <v>157001</v>
      </c>
      <c r="F142" s="16" t="n">
        <v>80277</v>
      </c>
      <c r="G142" s="16" t="n">
        <v>42203</v>
      </c>
      <c r="H142" s="16" t="n">
        <v>24804</v>
      </c>
      <c r="I142" s="16" t="n">
        <v>17616</v>
      </c>
      <c r="J142" s="16" t="n">
        <v>15953</v>
      </c>
      <c r="K142" s="7"/>
      <c r="L142" s="7"/>
      <c r="M142" s="16" t="n">
        <v>1250301</v>
      </c>
      <c r="N142" s="16" t="n">
        <v>663494</v>
      </c>
      <c r="O142" s="16" t="n">
        <v>355618</v>
      </c>
      <c r="P142" s="16" t="n">
        <v>197883</v>
      </c>
      <c r="Q142" s="16" t="n">
        <v>159090</v>
      </c>
      <c r="R142" s="16" t="n">
        <v>136560</v>
      </c>
      <c r="S142" s="7"/>
      <c r="T142" s="7"/>
      <c r="U142" s="16" t="n">
        <v>4362045</v>
      </c>
      <c r="V142" s="16" t="n">
        <v>2291306</v>
      </c>
      <c r="W142" s="16" t="n">
        <v>1247858</v>
      </c>
      <c r="X142" s="16" t="n">
        <v>738402</v>
      </c>
      <c r="Y142" s="16" t="n">
        <v>530234</v>
      </c>
      <c r="Z142" s="16" t="n">
        <v>494404</v>
      </c>
      <c r="AA142" s="7"/>
      <c r="AB142" s="7"/>
      <c r="AC142" s="16" t="n">
        <v>10624916</v>
      </c>
      <c r="AD142" s="16" t="n">
        <v>5558119</v>
      </c>
      <c r="AE142" s="16" t="n">
        <v>2993317</v>
      </c>
      <c r="AF142" s="16" t="n">
        <v>1701189</v>
      </c>
      <c r="AG142" s="16" t="n">
        <v>1268849</v>
      </c>
      <c r="AH142" s="16" t="n">
        <v>1304348</v>
      </c>
      <c r="AI142" s="8"/>
    </row>
    <row r="143" customFormat="false" ht="16.5" hidden="false" customHeight="true" outlineLevel="0" collapsed="false">
      <c r="B143" s="30"/>
      <c r="C143" s="18"/>
      <c r="D143" s="19" t="s">
        <v>41</v>
      </c>
      <c r="E143" s="20" t="n">
        <f aca="false" t="array" ref="E143:E143">ROUND(AVERAGE(IF((ISNUMBER(E113:E142))*(E113:E142&lt;LARGE(E113:E142,2))*(E113:E142&gt;SMALL(E113:E142,2)),E113:E142)),0)</f>
        <v>155902</v>
      </c>
      <c r="F143" s="20" t="n">
        <f aca="false" t="array" ref="F143:F143">ROUND(AVERAGE(IF((ISNUMBER(F113:F142))*(F113:F142&lt;LARGE(F113:F142,2))*(F113:F142&gt;SMALL(F113:F142,2)),F113:F142)),0)</f>
        <v>80565</v>
      </c>
      <c r="G143" s="20" t="n">
        <f aca="false" t="array" ref="G143:G143">ROUND(AVERAGE(IF((ISNUMBER(G113:G142))*(G113:G142&lt;LARGE(G113:G142,2))*(G113:G142&gt;SMALL(G113:G142,2)),G113:G142)),0)</f>
        <v>42332</v>
      </c>
      <c r="H143" s="20" t="n">
        <f aca="false" t="array" ref="H143:H143">ROUND(AVERAGE(IF((ISNUMBER(H113:H142))*(H113:H142&lt;LARGE(H113:H142,2))*(H113:H142&gt;SMALL(H113:H142,2)),H113:H142)),0)</f>
        <v>23372</v>
      </c>
      <c r="I143" s="20" t="n">
        <f aca="false" t="array" ref="I143:I143">ROUND(AVERAGE(IF((ISNUMBER(I113:I142))*(I113:I142&lt;LARGE(I113:I142,2))*(I113:I142&gt;SMALL(I113:I142,2)),I113:I142)),0)</f>
        <v>17625</v>
      </c>
      <c r="J143" s="20" t="n">
        <f aca="false" t="array" ref="J143:J143">ROUND(AVERAGE(IF((ISNUMBER(J113:J142))*(J113:J142&lt;LARGE(J113:J142,2))*(J113:J142&gt;SMALL(J113:J142,2)),J113:J142)),0)</f>
        <v>17629</v>
      </c>
      <c r="K143" s="20"/>
      <c r="L143" s="20"/>
      <c r="M143" s="20" t="n">
        <f aca="false" t="array" ref="M143:M143">ROUND(AVERAGE(IF((ISNUMBER(M113:M142))*(M113:M142&lt;LARGE(M113:M142,2))*(M113:M142&gt;SMALL(M113:M142,2)),M113:M142)),0)</f>
        <v>1279344</v>
      </c>
      <c r="N143" s="20" t="n">
        <f aca="false" t="array" ref="N143:N143">ROUND(AVERAGE(IF((ISNUMBER(N113:N142))*(N113:N142&lt;LARGE(N113:N142,2))*(N113:N142&gt;SMALL(N113:N142,2)),N113:N142)),0)</f>
        <v>660997</v>
      </c>
      <c r="O143" s="20" t="n">
        <f aca="false" t="array" ref="O143:O143">ROUND(AVERAGE(IF((ISNUMBER(O113:O142))*(O113:O142&lt;LARGE(O113:O142,2))*(O113:O142&gt;SMALL(O113:O142,2)),O113:O142)),0)</f>
        <v>352386</v>
      </c>
      <c r="P143" s="20" t="n">
        <f aca="false" t="array" ref="P143:P143">ROUND(AVERAGE(IF((ISNUMBER(P113:P142))*(P113:P142&lt;LARGE(P113:P142,2))*(P113:P142&gt;SMALL(P113:P142,2)),P113:P142)),0)</f>
        <v>196262</v>
      </c>
      <c r="Q143" s="20" t="n">
        <f aca="false" t="array" ref="Q143:Q143">ROUND(AVERAGE(IF((ISNUMBER(Q113:Q142))*(Q113:Q142&lt;LARGE(Q113:Q142,2))*(Q113:Q142&gt;SMALL(Q113:Q142,2)),Q113:Q142)),0)</f>
        <v>155375</v>
      </c>
      <c r="R143" s="20" t="n">
        <f aca="false" t="array" ref="R143:R143">ROUND(AVERAGE(IF((ISNUMBER(R113:R142))*(R113:R142&lt;LARGE(R113:R142,2))*(R113:R142&gt;SMALL(R113:R142,2)),R113:R142)),0)</f>
        <v>135564</v>
      </c>
      <c r="S143" s="20"/>
      <c r="T143" s="20"/>
      <c r="U143" s="20" t="n">
        <f aca="false" t="array" ref="U143:U143">ROUND(AVERAGE(IF((ISNUMBER(U113:U142))*(U113:U142&lt;LARGE(U113:U142,2))*(U113:U142&gt;SMALL(U113:U142,2)),U113:U142)),0)</f>
        <v>4459916</v>
      </c>
      <c r="V143" s="20" t="n">
        <f aca="false" t="array" ref="V143:V143">ROUND(AVERAGE(IF((ISNUMBER(V113:V142))*(V113:V142&lt;LARGE(V113:V142,2))*(V113:V142&gt;SMALL(V113:V142,2)),V113:V142)),0)</f>
        <v>2304244</v>
      </c>
      <c r="W143" s="20" t="n">
        <f aca="false" t="array" ref="W143:W143">ROUND(AVERAGE(IF((ISNUMBER(W113:W142))*(W113:W142&lt;LARGE(W113:W142,2))*(W113:W142&gt;SMALL(W113:W142,2)),W113:W142)),0)</f>
        <v>1246894</v>
      </c>
      <c r="X143" s="20" t="n">
        <f aca="false" t="array" ref="X143:X143">ROUND(AVERAGE(IF((ISNUMBER(X113:X142))*(X113:X142&lt;LARGE(X113:X142,2))*(X113:X142&gt;SMALL(X113:X142,2)),X113:X142)),0)</f>
        <v>693474</v>
      </c>
      <c r="Y143" s="20" t="n">
        <f aca="false" t="array" ref="Y143:Y143">ROUND(AVERAGE(IF((ISNUMBER(Y113:Y142))*(Y113:Y142&lt;LARGE(Y113:Y142,2))*(Y113:Y142&gt;SMALL(Y113:Y142,2)),Y113:Y142)),0)</f>
        <v>531468</v>
      </c>
      <c r="Z143" s="20" t="n">
        <f aca="false" t="array" ref="Z143:Z143">ROUND(AVERAGE(IF((ISNUMBER(Z113:Z142))*(Z113:Z142&lt;LARGE(Z113:Z142,2))*(Z113:Z142&gt;SMALL(Z113:Z142,2)),Z113:Z142)),0)</f>
        <v>486497</v>
      </c>
      <c r="AA143" s="20"/>
      <c r="AB143" s="20"/>
      <c r="AC143" s="20" t="n">
        <f aca="false" t="array" ref="AC143:AC143">ROUND(AVERAGE(IF((ISNUMBER(AC113:AC142))*(AC113:AC142&lt;LARGE(AC113:AC142,2))*(AC113:AC142&gt;SMALL(AC113:AC142,2)),AC113:AC142)),0)</f>
        <v>10586002</v>
      </c>
      <c r="AD143" s="20" t="n">
        <f aca="false" t="array" ref="AD143:AD143">ROUND(AVERAGE(IF((ISNUMBER(AD113:AD142))*(AD113:AD142&lt;LARGE(AD113:AD142,2))*(AD113:AD142&gt;SMALL(AD113:AD142,2)),AD113:AD142)),0)</f>
        <v>5554126</v>
      </c>
      <c r="AE143" s="20" t="n">
        <f aca="false" t="array" ref="AE143:AE143">ROUND(AVERAGE(IF((ISNUMBER(AE113:AE142))*(AE113:AE142&lt;LARGE(AE113:AE142,2))*(AE113:AE142&gt;SMALL(AE113:AE142,2)),AE113:AE142)),0)</f>
        <v>2990293</v>
      </c>
      <c r="AF143" s="20" t="n">
        <f aca="false" t="array" ref="AF143:AF143">ROUND(AVERAGE(IF((ISNUMBER(AF113:AF142))*(AF113:AF142&lt;LARGE(AF113:AF142,2))*(AF113:AF142&gt;SMALL(AF113:AF142,2)),AF113:AF142)),0)</f>
        <v>1682477</v>
      </c>
      <c r="AG143" s="20" t="n">
        <f aca="false" t="array" ref="AG143:AG143">ROUND(AVERAGE(IF((ISNUMBER(AG113:AG142))*(AG113:AG142&lt;LARGE(AG113:AG142,2))*(AG113:AG142&gt;SMALL(AG113:AG142,2)),AG113:AG142)),0)</f>
        <v>1273488</v>
      </c>
      <c r="AH143" s="21" t="n">
        <f aca="false" t="array" ref="AH143:AH143">ROUND(AVERAGE(IF((ISNUMBER(AH113:AH142))*(AH113:AH142&lt;LARGE(AH113:AH142,2))*(AH113:AH142&gt;SMALL(AH113:AH142,2)),AH113:AH142)),0)</f>
        <v>1353346</v>
      </c>
      <c r="AI143" s="8"/>
    </row>
    <row r="144" customFormat="false" ht="16.5" hidden="false" customHeight="true" outlineLevel="0" collapsed="false">
      <c r="B144" s="31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5"/>
    </row>
    <row r="145" customFormat="false" ht="14.25" hidden="false" customHeight="false" outlineLevel="0" collapsed="false">
      <c r="D145" s="32"/>
    </row>
    <row r="146" customFormat="false" ht="14.25" hidden="false" customHeight="false" outlineLevel="0" collapsed="false">
      <c r="D146" s="32"/>
    </row>
  </sheetData>
  <mergeCells count="12">
    <mergeCell ref="K4:L4"/>
    <mergeCell ref="S4:T4"/>
    <mergeCell ref="AA4:AB4"/>
    <mergeCell ref="K40:L40"/>
    <mergeCell ref="S40:T40"/>
    <mergeCell ref="AA40:AB40"/>
    <mergeCell ref="K76:L76"/>
    <mergeCell ref="S76:T76"/>
    <mergeCell ref="AA76:AB76"/>
    <mergeCell ref="K112:L112"/>
    <mergeCell ref="S112:T112"/>
    <mergeCell ref="AA112:AB1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AK274"/>
  <sheetViews>
    <sheetView showFormulas="false" showGridLines="true" showRowColHeaders="true" showZeros="true" rightToLeft="false" tabSelected="false" showOutlineSymbols="true" defaultGridColor="true" view="normal" topLeftCell="C1" colorId="64" zoomScale="36" zoomScaleNormal="36" zoomScalePageLayoutView="100" workbookViewId="0">
      <selection pane="topLeft" activeCell="AN251" activeCellId="0" sqref="AN251"/>
    </sheetView>
  </sheetViews>
  <sheetFormatPr defaultColWidth="10.59765625" defaultRowHeight="14.25" zeroHeight="false" outlineLevelRow="0" outlineLevelCol="0"/>
  <cols>
    <col collapsed="false" customWidth="true" hidden="false" outlineLevel="0" max="3" min="3" style="0" width="27.22"/>
    <col collapsed="false" customWidth="true" hidden="false" outlineLevel="0" max="4" min="4" style="0" width="10.89"/>
    <col collapsed="false" customWidth="true" hidden="false" outlineLevel="0" max="11" min="11" style="0" width="10.89"/>
  </cols>
  <sheetData>
    <row r="6" customFormat="false" ht="14.25" hidden="false" customHeight="false" outlineLevel="0" collapsed="false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5"/>
    </row>
    <row r="7" customFormat="false" ht="33.85" hidden="false" customHeight="false" outlineLevel="0" collapsed="false">
      <c r="B7" s="36"/>
      <c r="C7" s="37" t="s">
        <v>47</v>
      </c>
      <c r="D7" s="3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38"/>
    </row>
    <row r="8" customFormat="false" ht="14.25" hidden="false" customHeight="false" outlineLevel="0" collapsed="false">
      <c r="B8" s="36"/>
      <c r="C8" s="15" t="s">
        <v>48</v>
      </c>
      <c r="D8" s="15" t="s">
        <v>2</v>
      </c>
      <c r="E8" s="15" t="s">
        <v>3</v>
      </c>
      <c r="F8" s="15" t="s">
        <v>4</v>
      </c>
      <c r="G8" s="15" t="s">
        <v>5</v>
      </c>
      <c r="H8" s="15" t="s">
        <v>6</v>
      </c>
      <c r="I8" s="15" t="s">
        <v>7</v>
      </c>
      <c r="J8" s="7"/>
      <c r="K8" s="39" t="s">
        <v>48</v>
      </c>
      <c r="L8" s="39"/>
      <c r="M8" s="15" t="s">
        <v>2</v>
      </c>
      <c r="N8" s="15" t="s">
        <v>3</v>
      </c>
      <c r="O8" s="15" t="s">
        <v>4</v>
      </c>
      <c r="P8" s="15" t="s">
        <v>5</v>
      </c>
      <c r="Q8" s="15" t="s">
        <v>6</v>
      </c>
      <c r="R8" s="15" t="s">
        <v>7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38"/>
    </row>
    <row r="9" customFormat="false" ht="14.25" hidden="false" customHeight="false" outlineLevel="0" collapsed="false">
      <c r="B9" s="36"/>
      <c r="C9" s="7" t="s">
        <v>49</v>
      </c>
      <c r="D9" s="7" t="n">
        <v>1</v>
      </c>
      <c r="E9" s="7" t="n">
        <f aca="false">$D10/E10</f>
        <v>1.92000740029832</v>
      </c>
      <c r="F9" s="7" t="n">
        <f aca="false">$D10/F10</f>
        <v>3.39615077823001</v>
      </c>
      <c r="G9" s="7" t="n">
        <f aca="false">$D10/G10</f>
        <v>5.92922692376361</v>
      </c>
      <c r="H9" s="7" t="n">
        <f aca="false">$D10/H10</f>
        <v>5.71239851382964</v>
      </c>
      <c r="I9" s="7" t="n">
        <f aca="false">$D10/I10</f>
        <v>4.94779499404053</v>
      </c>
      <c r="J9" s="7"/>
      <c r="K9" s="40" t="s">
        <v>50</v>
      </c>
      <c r="L9" s="40"/>
      <c r="M9" s="7" t="n">
        <f aca="false">(D9+D12+D15+D18)/4</f>
        <v>1</v>
      </c>
      <c r="N9" s="7" t="n">
        <f aca="false">(E9+E12+E15+E18)/4</f>
        <v>1.85527421011253</v>
      </c>
      <c r="O9" s="7" t="n">
        <f aca="false">(F9+F12+F15+F18)/4</f>
        <v>3.35594643072758</v>
      </c>
      <c r="P9" s="7" t="n">
        <f aca="false">(G9+G12+G15+G18)/4</f>
        <v>5.84095172129695</v>
      </c>
      <c r="Q9" s="7" t="n">
        <f aca="false">(H9+H12+H15+H18)/4</f>
        <v>5.36843110968761</v>
      </c>
      <c r="R9" s="7" t="n">
        <f aca="false">(I9+I12+I15+I18)/4</f>
        <v>4.42584823178819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38"/>
    </row>
    <row r="10" customFormat="false" ht="14.25" hidden="false" customHeight="false" outlineLevel="0" collapsed="false">
      <c r="B10" s="36"/>
      <c r="C10" s="7" t="s">
        <v>51</v>
      </c>
      <c r="D10" s="7" t="n">
        <f aca="false">'Información completa'!E35</f>
        <v>166048</v>
      </c>
      <c r="E10" s="7" t="n">
        <f aca="false">'Información completa'!F35</f>
        <v>86483</v>
      </c>
      <c r="F10" s="7" t="n">
        <f aca="false">'Información completa'!G35</f>
        <v>48893</v>
      </c>
      <c r="G10" s="7" t="n">
        <f aca="false">'Información completa'!H35</f>
        <v>28005</v>
      </c>
      <c r="H10" s="7" t="n">
        <f aca="false">'Información completa'!I35</f>
        <v>29068</v>
      </c>
      <c r="I10" s="7" t="n">
        <f aca="false">'Información completa'!J35</f>
        <v>33560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38"/>
    </row>
    <row r="11" customFormat="false" ht="14.25" hidden="false" customHeight="false" outlineLevel="0" collapsed="false">
      <c r="B11" s="36"/>
      <c r="C11" s="15" t="s">
        <v>48</v>
      </c>
      <c r="D11" s="15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38"/>
    </row>
    <row r="12" customFormat="false" ht="14.25" hidden="false" customHeight="false" outlineLevel="0" collapsed="false">
      <c r="B12" s="36"/>
      <c r="C12" s="7" t="s">
        <v>52</v>
      </c>
      <c r="D12" s="7" t="n">
        <v>1</v>
      </c>
      <c r="E12" s="7" t="n">
        <f aca="false">$D13/E13</f>
        <v>1.89934852284046</v>
      </c>
      <c r="F12" s="7" t="n">
        <f aca="false">$D13/F13</f>
        <v>3.41600217470098</v>
      </c>
      <c r="G12" s="7" t="n">
        <f aca="false">$D13/G13</f>
        <v>6.03171627248672</v>
      </c>
      <c r="H12" s="7" t="n">
        <f aca="false">$D13/H13</f>
        <v>5.0097485348235</v>
      </c>
      <c r="I12" s="7" t="n">
        <f aca="false">$D13/I13</f>
        <v>3.64084601212409</v>
      </c>
      <c r="J12" s="7"/>
      <c r="K12" s="7"/>
      <c r="L12" s="7"/>
      <c r="M12" s="7"/>
      <c r="N12" s="7"/>
      <c r="O12" s="1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38"/>
    </row>
    <row r="13" customFormat="false" ht="14.25" hidden="false" customHeight="false" outlineLevel="0" collapsed="false">
      <c r="B13" s="36"/>
      <c r="C13" s="7" t="s">
        <v>53</v>
      </c>
      <c r="D13" s="7" t="n">
        <f aca="false">'Información completa'!M35</f>
        <v>1470261</v>
      </c>
      <c r="E13" s="7" t="n">
        <f aca="false">'Información completa'!N35</f>
        <v>774087</v>
      </c>
      <c r="F13" s="7" t="n">
        <f aca="false">'Información completa'!O35</f>
        <v>430404</v>
      </c>
      <c r="G13" s="7" t="n">
        <f aca="false">'Información completa'!P35</f>
        <v>243755</v>
      </c>
      <c r="H13" s="7" t="n">
        <f aca="false">'Información completa'!Q35</f>
        <v>293480</v>
      </c>
      <c r="I13" s="7" t="n">
        <f aca="false">'Información completa'!R35</f>
        <v>403824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38"/>
    </row>
    <row r="14" customFormat="false" ht="14.25" hidden="false" customHeight="false" outlineLevel="0" collapsed="false">
      <c r="B14" s="36"/>
      <c r="C14" s="15" t="s">
        <v>48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38"/>
    </row>
    <row r="15" customFormat="false" ht="14.25" hidden="false" customHeight="false" outlineLevel="0" collapsed="false">
      <c r="B15" s="36"/>
      <c r="C15" s="7" t="s">
        <v>54</v>
      </c>
      <c r="D15" s="7" t="n">
        <v>1</v>
      </c>
      <c r="E15" s="7" t="n">
        <f aca="false">$D16/E16</f>
        <v>1.66329922171646</v>
      </c>
      <c r="F15" s="7" t="n">
        <f aca="false">$D16/F16</f>
        <v>3.08024000908223</v>
      </c>
      <c r="G15" s="7" t="n">
        <f aca="false">$D16/G16</f>
        <v>5.41053090973284</v>
      </c>
      <c r="H15" s="7" t="n">
        <f aca="false">$D16/H16</f>
        <v>4.89764254864565</v>
      </c>
      <c r="I15" s="7" t="n">
        <f aca="false">$D16/I16</f>
        <v>3.50097569385318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38"/>
    </row>
    <row r="16" customFormat="false" ht="14.25" hidden="false" customHeight="false" outlineLevel="0" collapsed="false">
      <c r="B16" s="36"/>
      <c r="C16" s="7" t="s">
        <v>55</v>
      </c>
      <c r="D16" s="7" t="n">
        <f aca="false">'Información completa'!U35</f>
        <v>6620212</v>
      </c>
      <c r="E16" s="7" t="n">
        <f aca="false">'Información completa'!V35</f>
        <v>3980169</v>
      </c>
      <c r="F16" s="7" t="n">
        <f aca="false">'Información completa'!W35</f>
        <v>2149252</v>
      </c>
      <c r="G16" s="7" t="n">
        <f aca="false">'Información completa'!X35</f>
        <v>1223579</v>
      </c>
      <c r="H16" s="7" t="n">
        <f aca="false">'Información completa'!Y35</f>
        <v>1351714</v>
      </c>
      <c r="I16" s="7" t="n">
        <f aca="false">'Información completa'!Z35</f>
        <v>1890962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38"/>
    </row>
    <row r="17" customFormat="false" ht="14.25" hidden="false" customHeight="false" outlineLevel="0" collapsed="false">
      <c r="B17" s="36"/>
      <c r="C17" s="15" t="s">
        <v>48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15" t="s">
        <v>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38"/>
    </row>
    <row r="18" customFormat="false" ht="14.25" hidden="false" customHeight="false" outlineLevel="0" collapsed="false">
      <c r="B18" s="36"/>
      <c r="C18" s="7" t="s">
        <v>56</v>
      </c>
      <c r="D18" s="7" t="n">
        <v>1</v>
      </c>
      <c r="E18" s="7" t="n">
        <f aca="false">$D19/E19</f>
        <v>1.93844169559487</v>
      </c>
      <c r="F18" s="7" t="n">
        <f aca="false">$D19/F19</f>
        <v>3.53139276089711</v>
      </c>
      <c r="G18" s="7" t="n">
        <f aca="false">$D19/G19</f>
        <v>5.99233277920462</v>
      </c>
      <c r="H18" s="7" t="n">
        <f aca="false">$D19/H19</f>
        <v>5.85393484145164</v>
      </c>
      <c r="I18" s="7" t="n">
        <f aca="false">$D19/I19</f>
        <v>5.61377622713496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38"/>
    </row>
    <row r="19" customFormat="false" ht="14.25" hidden="false" customHeight="false" outlineLevel="0" collapsed="false">
      <c r="B19" s="36"/>
      <c r="C19" s="7" t="s">
        <v>57</v>
      </c>
      <c r="D19" s="7" t="n">
        <f aca="false">'Información completa'!AC35</f>
        <v>31908429</v>
      </c>
      <c r="E19" s="7" t="n">
        <f aca="false">'Información completa'!AD35</f>
        <v>16460866</v>
      </c>
      <c r="F19" s="7" t="n">
        <f aca="false">'Información completa'!AE35</f>
        <v>9035650</v>
      </c>
      <c r="G19" s="7" t="n">
        <f aca="false">'Información completa'!AF35</f>
        <v>5324876</v>
      </c>
      <c r="H19" s="7" t="n">
        <f aca="false">'Información completa'!AG35</f>
        <v>5450766</v>
      </c>
      <c r="I19" s="7" t="n">
        <f aca="false">'Información completa'!AH35</f>
        <v>5683951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38"/>
    </row>
    <row r="20" customFormat="false" ht="14.25" hidden="false" customHeight="false" outlineLevel="0" collapsed="false">
      <c r="B20" s="3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38"/>
    </row>
    <row r="21" customFormat="false" ht="14.25" hidden="false" customHeight="false" outlineLevel="0" collapsed="false">
      <c r="B21" s="3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38"/>
    </row>
    <row r="22" customFormat="false" ht="14.25" hidden="false" customHeight="false" outlineLevel="0" collapsed="false">
      <c r="B22" s="3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38"/>
    </row>
    <row r="23" customFormat="false" ht="14.25" hidden="false" customHeight="false" outlineLevel="0" collapsed="false">
      <c r="B23" s="3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38"/>
    </row>
    <row r="24" customFormat="false" ht="14.25" hidden="false" customHeight="false" outlineLevel="0" collapsed="false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38"/>
    </row>
    <row r="25" customFormat="false" ht="14.25" hidden="false" customHeight="false" outlineLevel="0" collapsed="false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38"/>
    </row>
    <row r="26" customFormat="false" ht="14.25" hidden="false" customHeight="false" outlineLevel="0" collapsed="false">
      <c r="B26" s="3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38"/>
    </row>
    <row r="27" customFormat="false" ht="14.25" hidden="false" customHeight="false" outlineLevel="0" collapsed="false">
      <c r="B27" s="3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38"/>
    </row>
    <row r="28" customFormat="false" ht="14.25" hidden="false" customHeight="false" outlineLevel="0" collapsed="false">
      <c r="B28" s="3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38"/>
    </row>
    <row r="29" customFormat="false" ht="14.25" hidden="false" customHeight="false" outlineLevel="0" collapsed="false">
      <c r="B29" s="3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38"/>
    </row>
    <row r="30" customFormat="false" ht="14.25" hidden="false" customHeight="false" outlineLevel="0" collapsed="false">
      <c r="B30" s="3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38"/>
    </row>
    <row r="31" customFormat="false" ht="14.25" hidden="false" customHeight="false" outlineLevel="0" collapsed="false">
      <c r="B31" s="3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38"/>
    </row>
    <row r="32" customFormat="false" ht="14.25" hidden="false" customHeight="false" outlineLevel="0" collapsed="false">
      <c r="B32" s="3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38"/>
    </row>
    <row r="33" customFormat="false" ht="14.25" hidden="false" customHeight="false" outlineLevel="0" collapsed="false">
      <c r="B33" s="3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38"/>
    </row>
    <row r="34" customFormat="false" ht="14.25" hidden="false" customHeight="false" outlineLevel="0" collapsed="false">
      <c r="B34" s="3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38"/>
    </row>
    <row r="35" customFormat="false" ht="14.25" hidden="false" customHeight="false" outlineLevel="0" collapsed="false"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38"/>
    </row>
    <row r="36" customFormat="false" ht="14.25" hidden="false" customHeight="false" outlineLevel="0" collapsed="false">
      <c r="B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38"/>
    </row>
    <row r="37" customFormat="false" ht="14.25" hidden="false" customHeight="false" outlineLevel="0" collapsed="false">
      <c r="B37" s="3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38"/>
    </row>
    <row r="38" customFormat="false" ht="14.25" hidden="false" customHeight="false" outlineLevel="0" collapsed="false">
      <c r="B38" s="3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38"/>
    </row>
    <row r="39" customFormat="false" ht="14.25" hidden="false" customHeight="false" outlineLevel="0" collapsed="false">
      <c r="B39" s="3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38"/>
    </row>
    <row r="40" customFormat="false" ht="14.25" hidden="false" customHeight="false" outlineLevel="0" collapsed="false">
      <c r="B40" s="3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38"/>
    </row>
    <row r="41" customFormat="false" ht="14.25" hidden="false" customHeight="false" outlineLevel="0" collapsed="false">
      <c r="B41" s="3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38"/>
    </row>
    <row r="42" customFormat="false" ht="14.25" hidden="false" customHeight="false" outlineLevel="0" collapsed="false">
      <c r="B42" s="3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38"/>
    </row>
    <row r="43" customFormat="false" ht="14.25" hidden="false" customHeight="false" outlineLevel="0" collapsed="false">
      <c r="B43" s="3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38"/>
    </row>
    <row r="44" customFormat="false" ht="14.25" hidden="false" customHeight="false" outlineLevel="0" collapsed="false">
      <c r="B44" s="3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38"/>
    </row>
    <row r="45" customFormat="false" ht="14.25" hidden="false" customHeight="false" outlineLevel="0" collapsed="false">
      <c r="B45" s="3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38"/>
    </row>
    <row r="46" customFormat="false" ht="14.25" hidden="false" customHeight="false" outlineLevel="0" collapsed="false">
      <c r="B46" s="3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38"/>
    </row>
    <row r="47" customFormat="false" ht="14.25" hidden="false" customHeight="false" outlineLevel="0" collapsed="false">
      <c r="B47" s="3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38"/>
    </row>
    <row r="48" customFormat="false" ht="14.25" hidden="false" customHeight="false" outlineLevel="0" collapsed="false">
      <c r="B48" s="3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38"/>
    </row>
    <row r="49" customFormat="false" ht="14.25" hidden="false" customHeight="false" outlineLevel="0" collapsed="false">
      <c r="B49" s="3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38"/>
    </row>
    <row r="50" customFormat="false" ht="14.25" hidden="false" customHeight="false" outlineLevel="0" collapsed="false">
      <c r="B50" s="3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38"/>
    </row>
    <row r="51" customFormat="false" ht="14.25" hidden="false" customHeight="false" outlineLevel="0" collapsed="false">
      <c r="B51" s="3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38"/>
    </row>
    <row r="52" customFormat="false" ht="14.25" hidden="false" customHeight="false" outlineLevel="0" collapsed="false"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38"/>
    </row>
    <row r="53" customFormat="false" ht="14.25" hidden="false" customHeight="false" outlineLevel="0" collapsed="false">
      <c r="B53" s="3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38"/>
    </row>
    <row r="54" customFormat="false" ht="14.25" hidden="false" customHeight="false" outlineLevel="0" collapsed="false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38"/>
    </row>
    <row r="55" customFormat="false" ht="14.25" hidden="false" customHeight="false" outlineLevel="0" collapsed="false">
      <c r="B55" s="3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38"/>
    </row>
    <row r="56" customFormat="false" ht="14.25" hidden="false" customHeight="false" outlineLevel="0" collapsed="false">
      <c r="B56" s="3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38"/>
    </row>
    <row r="57" customFormat="false" ht="14.25" hidden="false" customHeight="false" outlineLevel="0" collapsed="false">
      <c r="B57" s="3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38"/>
    </row>
    <row r="58" customFormat="false" ht="14.25" hidden="false" customHeight="false" outlineLevel="0" collapsed="false">
      <c r="B58" s="3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38"/>
    </row>
    <row r="59" customFormat="false" ht="14.25" hidden="false" customHeight="false" outlineLevel="0" collapsed="false">
      <c r="B59" s="3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38"/>
    </row>
    <row r="60" customFormat="false" ht="14.25" hidden="false" customHeight="false" outlineLevel="0" collapsed="false">
      <c r="B60" s="3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38"/>
    </row>
    <row r="61" customFormat="false" ht="14.25" hidden="false" customHeight="false" outlineLevel="0" collapsed="false">
      <c r="B61" s="3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38"/>
    </row>
    <row r="62" customFormat="false" ht="14.25" hidden="false" customHeight="false" outlineLevel="0" collapsed="false">
      <c r="B62" s="3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38"/>
    </row>
    <row r="63" customFormat="false" ht="14.25" hidden="false" customHeight="false" outlineLevel="0" collapsed="false">
      <c r="B63" s="3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38"/>
    </row>
    <row r="64" customFormat="false" ht="14.25" hidden="false" customHeight="false" outlineLevel="0" collapsed="false">
      <c r="B64" s="3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38"/>
    </row>
    <row r="65" customFormat="false" ht="14.25" hidden="false" customHeight="false" outlineLevel="0" collapsed="false">
      <c r="B65" s="3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38"/>
    </row>
    <row r="66" customFormat="false" ht="14.25" hidden="false" customHeight="false" outlineLevel="0" collapsed="false">
      <c r="B66" s="3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38"/>
    </row>
    <row r="67" customFormat="false" ht="14.25" hidden="false" customHeight="false" outlineLevel="0" collapsed="false">
      <c r="B67" s="3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38"/>
    </row>
    <row r="68" customFormat="false" ht="14.25" hidden="false" customHeight="false" outlineLevel="0" collapsed="false">
      <c r="B68" s="3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38"/>
    </row>
    <row r="69" customFormat="false" ht="14.25" hidden="false" customHeight="false" outlineLevel="0" collapsed="false">
      <c r="B69" s="3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38"/>
    </row>
    <row r="70" customFormat="false" ht="28.5" hidden="false" customHeight="true" outlineLevel="0" collapsed="false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3"/>
    </row>
    <row r="74" customFormat="false" ht="14.25" hidden="false" customHeight="false" outlineLevel="0" collapsed="false">
      <c r="B74" s="3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5"/>
    </row>
    <row r="75" customFormat="false" ht="33.85" hidden="false" customHeight="false" outlineLevel="0" collapsed="false">
      <c r="B75" s="36"/>
      <c r="C75" s="37" t="s">
        <v>58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38"/>
    </row>
    <row r="76" customFormat="false" ht="14.25" hidden="false" customHeight="false" outlineLevel="0" collapsed="false">
      <c r="B76" s="36"/>
      <c r="C76" s="15" t="s">
        <v>48</v>
      </c>
      <c r="D76" s="15" t="s">
        <v>2</v>
      </c>
      <c r="E76" s="15" t="s">
        <v>3</v>
      </c>
      <c r="F76" s="15" t="s">
        <v>4</v>
      </c>
      <c r="G76" s="15" t="s">
        <v>5</v>
      </c>
      <c r="H76" s="15" t="s">
        <v>6</v>
      </c>
      <c r="I76" s="15" t="s">
        <v>7</v>
      </c>
      <c r="J76" s="7"/>
      <c r="K76" s="39" t="s">
        <v>48</v>
      </c>
      <c r="L76" s="39"/>
      <c r="M76" s="15" t="s">
        <v>2</v>
      </c>
      <c r="N76" s="15" t="s">
        <v>3</v>
      </c>
      <c r="O76" s="15" t="s">
        <v>4</v>
      </c>
      <c r="P76" s="15" t="s">
        <v>5</v>
      </c>
      <c r="Q76" s="15" t="s">
        <v>6</v>
      </c>
      <c r="R76" s="15" t="s">
        <v>7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38"/>
    </row>
    <row r="77" customFormat="false" ht="14.25" hidden="false" customHeight="false" outlineLevel="0" collapsed="false">
      <c r="B77" s="36"/>
      <c r="C77" s="7" t="s">
        <v>49</v>
      </c>
      <c r="D77" s="7" t="n">
        <v>1</v>
      </c>
      <c r="E77" s="7" t="n">
        <f aca="false">$D78/E78</f>
        <v>1.9317317684455</v>
      </c>
      <c r="F77" s="7" t="n">
        <f aca="false">$D78/F78</f>
        <v>3.62582036807563</v>
      </c>
      <c r="G77" s="7" t="n">
        <f aca="false">$D78/G78</f>
        <v>6.30058218358721</v>
      </c>
      <c r="H77" s="7" t="n">
        <f aca="false">$D78/H78</f>
        <v>7.73629063846455</v>
      </c>
      <c r="I77" s="7" t="n">
        <f aca="false">$D78/I78</f>
        <v>5.71884613992544</v>
      </c>
      <c r="J77" s="7"/>
      <c r="K77" s="40" t="s">
        <v>50</v>
      </c>
      <c r="L77" s="40"/>
      <c r="M77" s="7" t="n">
        <f aca="false">(D77+D80+D83+D86)/4</f>
        <v>1</v>
      </c>
      <c r="N77" s="7" t="n">
        <f aca="false">(E77+E80+E83+E86)/4</f>
        <v>1.92301967445337</v>
      </c>
      <c r="O77" s="7" t="n">
        <f aca="false">(F77+F80+F83+F86)/4</f>
        <v>3.61143205592241</v>
      </c>
      <c r="P77" s="7" t="n">
        <f aca="false">(G77+G80+G83+G86)/4</f>
        <v>6.34765505900889</v>
      </c>
      <c r="Q77" s="7" t="n">
        <f aca="false">(H77+H80+H83+H86)/4</f>
        <v>7.99985355891839</v>
      </c>
      <c r="R77" s="7" t="n">
        <f aca="false">(I77+I80+I83+I86)/4</f>
        <v>7.33797690800013</v>
      </c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38"/>
    </row>
    <row r="78" customFormat="false" ht="14.25" hidden="false" customHeight="false" outlineLevel="0" collapsed="false">
      <c r="B78" s="36"/>
      <c r="C78" s="7" t="s">
        <v>51</v>
      </c>
      <c r="D78" s="7" t="n">
        <f aca="false">'Información completa'!E71</f>
        <v>158006</v>
      </c>
      <c r="E78" s="7" t="n">
        <f aca="false">'Información completa'!F71</f>
        <v>81795</v>
      </c>
      <c r="F78" s="7" t="n">
        <f aca="false">'Información completa'!G71</f>
        <v>43578</v>
      </c>
      <c r="G78" s="7" t="n">
        <f aca="false">'Información completa'!H71</f>
        <v>25078</v>
      </c>
      <c r="H78" s="7" t="n">
        <f aca="false">'Información completa'!I71</f>
        <v>20424</v>
      </c>
      <c r="I78" s="7" t="n">
        <f aca="false">'Información completa'!J71</f>
        <v>27629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38"/>
    </row>
    <row r="79" customFormat="false" ht="14.25" hidden="false" customHeight="false" outlineLevel="0" collapsed="false">
      <c r="B79" s="36"/>
      <c r="C79" s="15" t="s">
        <v>48</v>
      </c>
      <c r="D79" s="15" t="s">
        <v>2</v>
      </c>
      <c r="E79" s="15" t="s">
        <v>3</v>
      </c>
      <c r="F79" s="15" t="s">
        <v>4</v>
      </c>
      <c r="G79" s="15" t="s">
        <v>5</v>
      </c>
      <c r="H79" s="15" t="s">
        <v>6</v>
      </c>
      <c r="I79" s="15" t="s">
        <v>7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38"/>
    </row>
    <row r="80" customFormat="false" ht="14.25" hidden="false" customHeight="false" outlineLevel="0" collapsed="false">
      <c r="B80" s="36"/>
      <c r="C80" s="7" t="s">
        <v>52</v>
      </c>
      <c r="D80" s="7" t="n">
        <v>1</v>
      </c>
      <c r="E80" s="7" t="n">
        <f aca="false">$D81/E81</f>
        <v>1.93790585332568</v>
      </c>
      <c r="F80" s="7" t="n">
        <f aca="false">$D81/F81</f>
        <v>3.68070436436981</v>
      </c>
      <c r="G80" s="7" t="n">
        <f aca="false">$D81/G81</f>
        <v>6.52030793869608</v>
      </c>
      <c r="H80" s="7" t="n">
        <f aca="false">$D81/H81</f>
        <v>8.01989178271765</v>
      </c>
      <c r="I80" s="7" t="n">
        <f aca="false">$D81/I81</f>
        <v>7.86491542312889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38"/>
    </row>
    <row r="81" customFormat="false" ht="14.25" hidden="false" customHeight="false" outlineLevel="0" collapsed="false">
      <c r="B81" s="36"/>
      <c r="C81" s="7" t="s">
        <v>53</v>
      </c>
      <c r="D81" s="7" t="n">
        <f aca="false">'Información completa'!M71</f>
        <v>1286535</v>
      </c>
      <c r="E81" s="7" t="n">
        <f aca="false">'Información completa'!N71</f>
        <v>663879</v>
      </c>
      <c r="F81" s="7" t="n">
        <f aca="false">'Información completa'!O71</f>
        <v>349535</v>
      </c>
      <c r="G81" s="7" t="n">
        <f aca="false">'Información completa'!P71</f>
        <v>197312</v>
      </c>
      <c r="H81" s="7" t="n">
        <f aca="false">'Información completa'!Q71</f>
        <v>160418</v>
      </c>
      <c r="I81" s="7" t="n">
        <f aca="false">'Información completa'!R71</f>
        <v>163579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38"/>
    </row>
    <row r="82" customFormat="false" ht="14.25" hidden="false" customHeight="false" outlineLevel="0" collapsed="false">
      <c r="B82" s="36"/>
      <c r="C82" s="15" t="s">
        <v>48</v>
      </c>
      <c r="D82" s="15" t="s">
        <v>2</v>
      </c>
      <c r="E82" s="15" t="s">
        <v>3</v>
      </c>
      <c r="F82" s="15" t="s">
        <v>4</v>
      </c>
      <c r="G82" s="15" t="s">
        <v>5</v>
      </c>
      <c r="H82" s="15" t="s">
        <v>6</v>
      </c>
      <c r="I82" s="15" t="s">
        <v>7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38"/>
    </row>
    <row r="83" customFormat="false" ht="14.25" hidden="false" customHeight="false" outlineLevel="0" collapsed="false">
      <c r="B83" s="36"/>
      <c r="C83" s="7" t="s">
        <v>56</v>
      </c>
      <c r="D83" s="7" t="n">
        <v>1</v>
      </c>
      <c r="E83" s="7" t="n">
        <f aca="false">$D84/E84</f>
        <v>1.91617957093448</v>
      </c>
      <c r="F83" s="7" t="n">
        <f aca="false">$D84/F84</f>
        <v>3.58803497215324</v>
      </c>
      <c r="G83" s="7" t="n">
        <f aca="false">$D84/G84</f>
        <v>6.31487194847986</v>
      </c>
      <c r="H83" s="7" t="n">
        <f aca="false">$D84/H84</f>
        <v>8.04479890101504</v>
      </c>
      <c r="I83" s="7" t="n">
        <f aca="false">$D84/I84</f>
        <v>8.37199565824159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38"/>
    </row>
    <row r="84" customFormat="false" ht="14.25" hidden="false" customHeight="false" outlineLevel="0" collapsed="false">
      <c r="B84" s="36"/>
      <c r="C84" s="7" t="s">
        <v>57</v>
      </c>
      <c r="D84" s="7" t="n">
        <f aca="false">'Información completa'!U71</f>
        <v>4427262</v>
      </c>
      <c r="E84" s="7" t="n">
        <f aca="false">'Información completa'!V71</f>
        <v>2310463</v>
      </c>
      <c r="F84" s="7" t="n">
        <f aca="false">'Información completa'!W71</f>
        <v>1233896</v>
      </c>
      <c r="G84" s="7" t="n">
        <f aca="false">'Información completa'!X71</f>
        <v>701085</v>
      </c>
      <c r="H84" s="7" t="n">
        <f aca="false">'Información completa'!Y71</f>
        <v>550326</v>
      </c>
      <c r="I84" s="7" t="n">
        <f aca="false">'Información completa'!Z71</f>
        <v>528818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38"/>
    </row>
    <row r="85" customFormat="false" ht="14.25" hidden="false" customHeight="false" outlineLevel="0" collapsed="false">
      <c r="B85" s="36"/>
      <c r="C85" s="15" t="s">
        <v>48</v>
      </c>
      <c r="D85" s="15" t="s">
        <v>2</v>
      </c>
      <c r="E85" s="15" t="s">
        <v>3</v>
      </c>
      <c r="F85" s="15" t="s">
        <v>4</v>
      </c>
      <c r="G85" s="15" t="s">
        <v>5</v>
      </c>
      <c r="H85" s="15" t="s">
        <v>6</v>
      </c>
      <c r="I85" s="15" t="s">
        <v>7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38"/>
    </row>
    <row r="86" customFormat="false" ht="14.25" hidden="false" customHeight="false" outlineLevel="0" collapsed="false">
      <c r="B86" s="36"/>
      <c r="C86" s="7" t="s">
        <v>59</v>
      </c>
      <c r="D86" s="7" t="n">
        <v>1</v>
      </c>
      <c r="E86" s="7" t="n">
        <f aca="false">$D87/E87</f>
        <v>1.90626150510779</v>
      </c>
      <c r="F86" s="7" t="n">
        <f aca="false">$D87/F87</f>
        <v>3.55116851909096</v>
      </c>
      <c r="G86" s="7" t="n">
        <f aca="false">$D87/G87</f>
        <v>6.25485816527241</v>
      </c>
      <c r="H86" s="7" t="n">
        <f aca="false">$D87/H87</f>
        <v>8.19843291347632</v>
      </c>
      <c r="I86" s="7" t="n">
        <f aca="false">$D87/I87</f>
        <v>7.39615041070459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38"/>
    </row>
    <row r="87" customFormat="false" ht="14.25" hidden="false" customHeight="false" outlineLevel="0" collapsed="false">
      <c r="B87" s="36"/>
      <c r="C87" s="7" t="s">
        <v>60</v>
      </c>
      <c r="D87" s="7" t="n">
        <f aca="false">'Información completa'!AC71</f>
        <v>10557450</v>
      </c>
      <c r="E87" s="7" t="n">
        <f aca="false">'Información completa'!AD71</f>
        <v>5538301</v>
      </c>
      <c r="F87" s="7" t="n">
        <f aca="false">'Información completa'!AE71</f>
        <v>2972951</v>
      </c>
      <c r="G87" s="7" t="n">
        <f aca="false">'Información completa'!AF71</f>
        <v>1687880</v>
      </c>
      <c r="H87" s="7" t="n">
        <f aca="false">'Información completa'!AG71</f>
        <v>1287740</v>
      </c>
      <c r="I87" s="7" t="n">
        <f aca="false">'Información completa'!AH71</f>
        <v>1427425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38"/>
    </row>
    <row r="88" customFormat="false" ht="14.25" hidden="false" customHeight="false" outlineLevel="0" collapsed="false">
      <c r="B88" s="3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38"/>
    </row>
    <row r="89" customFormat="false" ht="14.25" hidden="false" customHeight="false" outlineLevel="0" collapsed="false">
      <c r="B89" s="3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38"/>
    </row>
    <row r="90" customFormat="false" ht="14.25" hidden="false" customHeight="false" outlineLevel="0" collapsed="false">
      <c r="B90" s="3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38"/>
    </row>
    <row r="91" customFormat="false" ht="14.25" hidden="false" customHeight="false" outlineLevel="0" collapsed="false">
      <c r="B91" s="3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38"/>
    </row>
    <row r="92" customFormat="false" ht="14.25" hidden="false" customHeight="false" outlineLevel="0" collapsed="false">
      <c r="B92" s="3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38"/>
    </row>
    <row r="93" customFormat="false" ht="14.25" hidden="false" customHeight="false" outlineLevel="0" collapsed="false">
      <c r="B93" s="3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38"/>
    </row>
    <row r="94" customFormat="false" ht="14.25" hidden="false" customHeight="false" outlineLevel="0" collapsed="false">
      <c r="B94" s="3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38"/>
    </row>
    <row r="95" customFormat="false" ht="14.25" hidden="false" customHeight="false" outlineLevel="0" collapsed="false">
      <c r="B95" s="3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38"/>
    </row>
    <row r="96" customFormat="false" ht="14.25" hidden="false" customHeight="false" outlineLevel="0" collapsed="false">
      <c r="B96" s="3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38"/>
    </row>
    <row r="97" customFormat="false" ht="14.25" hidden="false" customHeight="false" outlineLevel="0" collapsed="false">
      <c r="B97" s="3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38"/>
    </row>
    <row r="98" customFormat="false" ht="14.25" hidden="false" customHeight="false" outlineLevel="0" collapsed="false">
      <c r="B98" s="3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38"/>
    </row>
    <row r="99" customFormat="false" ht="14.25" hidden="false" customHeight="false" outlineLevel="0" collapsed="false">
      <c r="B99" s="3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38"/>
    </row>
    <row r="100" customFormat="false" ht="14.25" hidden="false" customHeight="false" outlineLevel="0" collapsed="false">
      <c r="B100" s="3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38"/>
    </row>
    <row r="101" customFormat="false" ht="14.25" hidden="false" customHeight="false" outlineLevel="0" collapsed="false">
      <c r="B101" s="3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38"/>
    </row>
    <row r="102" customFormat="false" ht="14.25" hidden="false" customHeight="false" outlineLevel="0" collapsed="false">
      <c r="B102" s="3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38"/>
    </row>
    <row r="103" customFormat="false" ht="14.25" hidden="false" customHeight="false" outlineLevel="0" collapsed="false">
      <c r="B103" s="3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38"/>
    </row>
    <row r="104" customFormat="false" ht="14.25" hidden="false" customHeight="false" outlineLevel="0" collapsed="false">
      <c r="B104" s="3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38"/>
    </row>
    <row r="105" customFormat="false" ht="14.25" hidden="false" customHeight="false" outlineLevel="0" collapsed="false">
      <c r="B105" s="3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38"/>
    </row>
    <row r="106" customFormat="false" ht="14.25" hidden="false" customHeight="false" outlineLevel="0" collapsed="false">
      <c r="B106" s="3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38"/>
    </row>
    <row r="107" customFormat="false" ht="14.25" hidden="false" customHeight="false" outlineLevel="0" collapsed="false">
      <c r="B107" s="3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38"/>
    </row>
    <row r="108" customFormat="false" ht="14.25" hidden="false" customHeight="false" outlineLevel="0" collapsed="false">
      <c r="B108" s="3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38"/>
    </row>
    <row r="109" customFormat="false" ht="14.25" hidden="false" customHeight="false" outlineLevel="0" collapsed="false">
      <c r="B109" s="3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38"/>
    </row>
    <row r="110" customFormat="false" ht="14.25" hidden="false" customHeight="false" outlineLevel="0" collapsed="false">
      <c r="B110" s="3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38"/>
    </row>
    <row r="111" customFormat="false" ht="14.25" hidden="false" customHeight="false" outlineLevel="0" collapsed="false">
      <c r="B111" s="3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38"/>
    </row>
    <row r="112" customFormat="false" ht="14.25" hidden="false" customHeight="false" outlineLevel="0" collapsed="false">
      <c r="B112" s="3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38"/>
    </row>
    <row r="113" customFormat="false" ht="14.25" hidden="false" customHeight="false" outlineLevel="0" collapsed="false">
      <c r="B113" s="3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38"/>
    </row>
    <row r="114" customFormat="false" ht="14.25" hidden="false" customHeight="false" outlineLevel="0" collapsed="false">
      <c r="B114" s="3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38"/>
    </row>
    <row r="115" customFormat="false" ht="14.25" hidden="false" customHeight="false" outlineLevel="0" collapsed="false">
      <c r="B115" s="3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38"/>
    </row>
    <row r="116" customFormat="false" ht="14.25" hidden="false" customHeight="false" outlineLevel="0" collapsed="false">
      <c r="B116" s="3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38"/>
    </row>
    <row r="117" customFormat="false" ht="14.25" hidden="false" customHeight="false" outlineLevel="0" collapsed="false">
      <c r="B117" s="3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38"/>
    </row>
    <row r="118" customFormat="false" ht="14.25" hidden="false" customHeight="false" outlineLevel="0" collapsed="false">
      <c r="B118" s="3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38"/>
    </row>
    <row r="119" customFormat="false" ht="14.25" hidden="false" customHeight="false" outlineLevel="0" collapsed="false">
      <c r="B119" s="3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38"/>
    </row>
    <row r="120" customFormat="false" ht="14.25" hidden="false" customHeight="false" outlineLevel="0" collapsed="false">
      <c r="B120" s="3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38"/>
    </row>
    <row r="121" customFormat="false" ht="14.25" hidden="false" customHeight="false" outlineLevel="0" collapsed="false">
      <c r="B121" s="3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38"/>
    </row>
    <row r="122" customFormat="false" ht="14.25" hidden="false" customHeight="false" outlineLevel="0" collapsed="false">
      <c r="B122" s="3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38"/>
    </row>
    <row r="123" customFormat="false" ht="14.25" hidden="false" customHeight="false" outlineLevel="0" collapsed="false">
      <c r="B123" s="3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38"/>
    </row>
    <row r="124" customFormat="false" ht="14.25" hidden="false" customHeight="false" outlineLevel="0" collapsed="false">
      <c r="B124" s="3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38"/>
    </row>
    <row r="125" customFormat="false" ht="14.25" hidden="false" customHeight="false" outlineLevel="0" collapsed="false">
      <c r="B125" s="3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38"/>
    </row>
    <row r="126" customFormat="false" ht="14.25" hidden="false" customHeight="false" outlineLevel="0" collapsed="false">
      <c r="B126" s="3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38"/>
    </row>
    <row r="127" customFormat="false" ht="14.25" hidden="false" customHeight="false" outlineLevel="0" collapsed="false">
      <c r="B127" s="3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38"/>
    </row>
    <row r="128" customFormat="false" ht="14.25" hidden="false" customHeight="false" outlineLevel="0" collapsed="false">
      <c r="B128" s="3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38"/>
    </row>
    <row r="129" customFormat="false" ht="14.25" hidden="false" customHeight="false" outlineLevel="0" collapsed="false">
      <c r="B129" s="3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38"/>
    </row>
    <row r="130" customFormat="false" ht="14.25" hidden="false" customHeight="false" outlineLevel="0" collapsed="false">
      <c r="B130" s="3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38"/>
    </row>
    <row r="131" customFormat="false" ht="14.25" hidden="false" customHeight="false" outlineLevel="0" collapsed="false">
      <c r="B131" s="3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38"/>
    </row>
    <row r="132" customFormat="false" ht="14.25" hidden="false" customHeight="false" outlineLevel="0" collapsed="false">
      <c r="B132" s="3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38"/>
    </row>
    <row r="133" customFormat="false" ht="14.25" hidden="false" customHeight="false" outlineLevel="0" collapsed="false">
      <c r="B133" s="3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38"/>
    </row>
    <row r="134" customFormat="false" ht="14.25" hidden="false" customHeight="false" outlineLevel="0" collapsed="false">
      <c r="B134" s="3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38"/>
    </row>
    <row r="135" customFormat="false" ht="14.25" hidden="false" customHeight="false" outlineLevel="0" collapsed="false">
      <c r="B135" s="3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38"/>
    </row>
    <row r="136" customFormat="false" ht="14.25" hidden="false" customHeight="false" outlineLevel="0" collapsed="false">
      <c r="B136" s="3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38"/>
    </row>
    <row r="137" customFormat="false" ht="14.25" hidden="false" customHeight="false" outlineLevel="0" collapsed="false">
      <c r="B137" s="3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38"/>
    </row>
    <row r="138" customFormat="false" ht="28.5" hidden="false" customHeight="true" outlineLevel="0" collapsed="false"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3"/>
    </row>
    <row r="142" customFormat="false" ht="14.25" hidden="false" customHeight="false" outlineLevel="0" collapsed="false">
      <c r="B142" s="33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5"/>
    </row>
    <row r="143" customFormat="false" ht="33.85" hidden="false" customHeight="false" outlineLevel="0" collapsed="false">
      <c r="B143" s="36"/>
      <c r="C143" s="37" t="s">
        <v>61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38"/>
    </row>
    <row r="144" customFormat="false" ht="14.25" hidden="false" customHeight="false" outlineLevel="0" collapsed="false">
      <c r="B144" s="36"/>
      <c r="C144" s="15" t="s">
        <v>48</v>
      </c>
      <c r="D144" s="15" t="s">
        <v>2</v>
      </c>
      <c r="E144" s="15" t="s">
        <v>3</v>
      </c>
      <c r="F144" s="15" t="s">
        <v>4</v>
      </c>
      <c r="G144" s="15" t="s">
        <v>5</v>
      </c>
      <c r="H144" s="15" t="s">
        <v>6</v>
      </c>
      <c r="I144" s="15" t="s">
        <v>7</v>
      </c>
      <c r="J144" s="7"/>
      <c r="K144" s="39" t="s">
        <v>48</v>
      </c>
      <c r="L144" s="39"/>
      <c r="M144" s="15" t="s">
        <v>2</v>
      </c>
      <c r="N144" s="15" t="s">
        <v>3</v>
      </c>
      <c r="O144" s="15" t="s">
        <v>4</v>
      </c>
      <c r="P144" s="15" t="s">
        <v>5</v>
      </c>
      <c r="Q144" s="15" t="s">
        <v>6</v>
      </c>
      <c r="R144" s="15" t="s">
        <v>7</v>
      </c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38"/>
    </row>
    <row r="145" customFormat="false" ht="14.25" hidden="false" customHeight="false" outlineLevel="0" collapsed="false">
      <c r="B145" s="36"/>
      <c r="C145" s="7" t="s">
        <v>49</v>
      </c>
      <c r="D145" s="7" t="n">
        <v>1</v>
      </c>
      <c r="E145" s="7" t="n">
        <f aca="false">$D146/E146</f>
        <v>1.93047337278107</v>
      </c>
      <c r="F145" s="7" t="n">
        <f aca="false">$D146/F146</f>
        <v>3.51596660924871</v>
      </c>
      <c r="G145" s="7" t="n">
        <f aca="false">$D146/G146</f>
        <v>6.12676056338028</v>
      </c>
      <c r="H145" s="7" t="n">
        <f aca="false">$D146/H146</f>
        <v>5.99254742547426</v>
      </c>
      <c r="I145" s="7" t="n">
        <f aca="false">$D146/I146</f>
        <v>6.69652996845426</v>
      </c>
      <c r="J145" s="7"/>
      <c r="K145" s="40" t="s">
        <v>50</v>
      </c>
      <c r="L145" s="40"/>
      <c r="M145" s="7" t="n">
        <f aca="false">(D145+D148+D151+D154)/4</f>
        <v>1</v>
      </c>
      <c r="N145" s="7" t="n">
        <f aca="false">(E145+E148+E151+E154)/4</f>
        <v>1.86164868322069</v>
      </c>
      <c r="O145" s="7" t="n">
        <f aca="false">(F145+F148+F151+F154)/4</f>
        <v>3.38370010785635</v>
      </c>
      <c r="P145" s="7" t="n">
        <f aca="false">(G145+G148+G151+G154)/4</f>
        <v>5.90272113394126</v>
      </c>
      <c r="Q145" s="7" t="n">
        <f aca="false">(H145+H148+H151+H154)/4</f>
        <v>5.40801615311763</v>
      </c>
      <c r="R145" s="7" t="n">
        <f aca="false">(I145+I148+I151+I154)/4</f>
        <v>4.94204603775259</v>
      </c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38"/>
    </row>
    <row r="146" customFormat="false" ht="14.25" hidden="false" customHeight="false" outlineLevel="0" collapsed="false">
      <c r="B146" s="36"/>
      <c r="C146" s="7" t="s">
        <v>51</v>
      </c>
      <c r="D146" s="7" t="n">
        <f aca="false">'Información completa'!E107</f>
        <v>159210</v>
      </c>
      <c r="E146" s="7" t="n">
        <f aca="false">'Información completa'!F107</f>
        <v>82472</v>
      </c>
      <c r="F146" s="7" t="n">
        <f aca="false">'Información completa'!G107</f>
        <v>45282</v>
      </c>
      <c r="G146" s="7" t="n">
        <f aca="false">'Información completa'!H107</f>
        <v>25986</v>
      </c>
      <c r="H146" s="7" t="n">
        <f aca="false">'Información completa'!I107</f>
        <v>26568</v>
      </c>
      <c r="I146" s="7" t="n">
        <f aca="false">'Información completa'!J107</f>
        <v>23775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38"/>
    </row>
    <row r="147" customFormat="false" ht="14.25" hidden="false" customHeight="false" outlineLevel="0" collapsed="false">
      <c r="B147" s="36"/>
      <c r="C147" s="15" t="s">
        <v>48</v>
      </c>
      <c r="D147" s="15" t="s">
        <v>2</v>
      </c>
      <c r="E147" s="15" t="s">
        <v>3</v>
      </c>
      <c r="F147" s="15" t="s">
        <v>4</v>
      </c>
      <c r="G147" s="15" t="s">
        <v>5</v>
      </c>
      <c r="H147" s="15" t="s">
        <v>6</v>
      </c>
      <c r="I147" s="15" t="s">
        <v>7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38"/>
    </row>
    <row r="148" customFormat="false" ht="14.25" hidden="false" customHeight="false" outlineLevel="0" collapsed="false">
      <c r="B148" s="36"/>
      <c r="C148" s="7" t="s">
        <v>52</v>
      </c>
      <c r="D148" s="7" t="n">
        <v>1</v>
      </c>
      <c r="E148" s="7" t="n">
        <f aca="false">$D149/E149</f>
        <v>1.93431959708695</v>
      </c>
      <c r="F148" s="7" t="n">
        <f aca="false">$D149/F149</f>
        <v>3.49477799128687</v>
      </c>
      <c r="G148" s="7" t="n">
        <f aca="false">$D149/G149</f>
        <v>6.26678269408655</v>
      </c>
      <c r="H148" s="7" t="n">
        <f aca="false">$D149/H149</f>
        <v>4.93738709955962</v>
      </c>
      <c r="I148" s="7" t="n">
        <f aca="false">$D149/I149</f>
        <v>3.7067403435257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38"/>
    </row>
    <row r="149" customFormat="false" ht="14.25" hidden="false" customHeight="false" outlineLevel="0" collapsed="false">
      <c r="B149" s="36"/>
      <c r="C149" s="7" t="s">
        <v>53</v>
      </c>
      <c r="D149" s="7" t="n">
        <f aca="false">'Información completa'!M107</f>
        <v>1429497</v>
      </c>
      <c r="E149" s="7" t="n">
        <f aca="false">'Información completa'!N107</f>
        <v>739018</v>
      </c>
      <c r="F149" s="7" t="n">
        <f aca="false">'Información completa'!O107</f>
        <v>409038</v>
      </c>
      <c r="G149" s="7" t="n">
        <f aca="false">'Información completa'!P107</f>
        <v>228107</v>
      </c>
      <c r="H149" s="7" t="n">
        <f aca="false">'Información completa'!Q107</f>
        <v>289525</v>
      </c>
      <c r="I149" s="7" t="n">
        <f aca="false">'Información completa'!R107</f>
        <v>385648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38"/>
    </row>
    <row r="150" customFormat="false" ht="14.25" hidden="false" customHeight="false" outlineLevel="0" collapsed="false">
      <c r="B150" s="36"/>
      <c r="C150" s="15" t="s">
        <v>48</v>
      </c>
      <c r="D150" s="15" t="s">
        <v>2</v>
      </c>
      <c r="E150" s="15" t="s">
        <v>3</v>
      </c>
      <c r="F150" s="15" t="s">
        <v>4</v>
      </c>
      <c r="G150" s="15" t="s">
        <v>5</v>
      </c>
      <c r="H150" s="15" t="s">
        <v>6</v>
      </c>
      <c r="I150" s="15" t="s">
        <v>7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38"/>
    </row>
    <row r="151" customFormat="false" ht="14.25" hidden="false" customHeight="false" outlineLevel="0" collapsed="false">
      <c r="B151" s="36"/>
      <c r="C151" s="7" t="s">
        <v>56</v>
      </c>
      <c r="D151" s="7" t="n">
        <v>1</v>
      </c>
      <c r="E151" s="7" t="n">
        <f aca="false">$D152/E152</f>
        <v>1.65124812862481</v>
      </c>
      <c r="F151" s="7" t="n">
        <f aca="false">$D152/F152</f>
        <v>3.03156643113719</v>
      </c>
      <c r="G151" s="7" t="n">
        <f aca="false">$D152/G152</f>
        <v>5.30924262061132</v>
      </c>
      <c r="H151" s="7" t="n">
        <f aca="false">$D152/H152</f>
        <v>4.8194094190393</v>
      </c>
      <c r="I151" s="7" t="n">
        <f aca="false">$D152/I152</f>
        <v>3.5881527020067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38"/>
    </row>
    <row r="152" customFormat="false" ht="14.25" hidden="false" customHeight="false" outlineLevel="0" collapsed="false">
      <c r="B152" s="36"/>
      <c r="C152" s="7" t="s">
        <v>57</v>
      </c>
      <c r="D152" s="7" t="n">
        <f aca="false">'Información completa'!U107</f>
        <v>6562638</v>
      </c>
      <c r="E152" s="7" t="n">
        <f aca="false">'Información completa'!V107</f>
        <v>3974350</v>
      </c>
      <c r="F152" s="7" t="n">
        <f aca="false">'Información completa'!W107</f>
        <v>2164768</v>
      </c>
      <c r="G152" s="7" t="n">
        <f aca="false">'Información completa'!X107</f>
        <v>1236078</v>
      </c>
      <c r="H152" s="7" t="n">
        <f aca="false">'Información completa'!Y107</f>
        <v>1361710</v>
      </c>
      <c r="I152" s="7" t="n">
        <f aca="false">'Información completa'!Z107</f>
        <v>1828974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38"/>
    </row>
    <row r="153" customFormat="false" ht="14.25" hidden="false" customHeight="false" outlineLevel="0" collapsed="false">
      <c r="B153" s="36"/>
      <c r="C153" s="15" t="s">
        <v>48</v>
      </c>
      <c r="D153" s="15" t="s">
        <v>2</v>
      </c>
      <c r="E153" s="15" t="s">
        <v>3</v>
      </c>
      <c r="F153" s="15" t="s">
        <v>4</v>
      </c>
      <c r="G153" s="15" t="s">
        <v>5</v>
      </c>
      <c r="H153" s="15" t="s">
        <v>6</v>
      </c>
      <c r="I153" s="15" t="s">
        <v>7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38"/>
    </row>
    <row r="154" customFormat="false" ht="14.25" hidden="false" customHeight="false" outlineLevel="0" collapsed="false">
      <c r="B154" s="36"/>
      <c r="C154" s="7" t="s">
        <v>59</v>
      </c>
      <c r="D154" s="7" t="n">
        <v>1</v>
      </c>
      <c r="E154" s="7" t="n">
        <f aca="false">$D155/E155</f>
        <v>1.93055363438993</v>
      </c>
      <c r="F154" s="7" t="n">
        <f aca="false">$D155/F155</f>
        <v>3.49248939975264</v>
      </c>
      <c r="G154" s="7" t="n">
        <f aca="false">$D155/G155</f>
        <v>5.90809865768689</v>
      </c>
      <c r="H154" s="7" t="n">
        <f aca="false">$D155/H155</f>
        <v>5.88272066839733</v>
      </c>
      <c r="I154" s="7" t="n">
        <f aca="false">$D155/I155</f>
        <v>5.77676113702369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38"/>
    </row>
    <row r="155" customFormat="false" ht="14.25" hidden="false" customHeight="false" outlineLevel="0" collapsed="false">
      <c r="B155" s="36"/>
      <c r="C155" s="7" t="s">
        <v>60</v>
      </c>
      <c r="D155" s="7" t="n">
        <f aca="false">'Información completa'!AC107</f>
        <v>31863280</v>
      </c>
      <c r="E155" s="7" t="n">
        <f aca="false">'Información completa'!AD107</f>
        <v>16504737</v>
      </c>
      <c r="F155" s="7" t="n">
        <f aca="false">'Información completa'!AE107</f>
        <v>9123372</v>
      </c>
      <c r="G155" s="7" t="n">
        <f aca="false">'Información completa'!AF107</f>
        <v>5393153</v>
      </c>
      <c r="H155" s="7" t="n">
        <f aca="false">'Información completa'!AG107</f>
        <v>5416419</v>
      </c>
      <c r="I155" s="7" t="n">
        <f aca="false">'Información completa'!AH107</f>
        <v>5515769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38"/>
    </row>
    <row r="156" customFormat="false" ht="14.25" hidden="false" customHeight="false" outlineLevel="0" collapsed="false">
      <c r="B156" s="3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38"/>
    </row>
    <row r="157" customFormat="false" ht="14.25" hidden="false" customHeight="false" outlineLevel="0" collapsed="false">
      <c r="B157" s="3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38"/>
    </row>
    <row r="158" customFormat="false" ht="14.25" hidden="false" customHeight="false" outlineLevel="0" collapsed="false">
      <c r="B158" s="3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38"/>
    </row>
    <row r="159" customFormat="false" ht="14.25" hidden="false" customHeight="false" outlineLevel="0" collapsed="false">
      <c r="B159" s="3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38"/>
    </row>
    <row r="160" customFormat="false" ht="14.25" hidden="false" customHeight="false" outlineLevel="0" collapsed="false">
      <c r="B160" s="3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38"/>
    </row>
    <row r="161" customFormat="false" ht="14.25" hidden="false" customHeight="false" outlineLevel="0" collapsed="false">
      <c r="B161" s="3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38"/>
    </row>
    <row r="162" customFormat="false" ht="14.25" hidden="false" customHeight="false" outlineLevel="0" collapsed="false">
      <c r="B162" s="3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38"/>
    </row>
    <row r="163" customFormat="false" ht="14.25" hidden="false" customHeight="false" outlineLevel="0" collapsed="false">
      <c r="B163" s="3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38"/>
    </row>
    <row r="164" customFormat="false" ht="14.25" hidden="false" customHeight="false" outlineLevel="0" collapsed="false">
      <c r="B164" s="3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38"/>
    </row>
    <row r="165" customFormat="false" ht="14.25" hidden="false" customHeight="false" outlineLevel="0" collapsed="false">
      <c r="B165" s="3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38"/>
    </row>
    <row r="166" customFormat="false" ht="14.25" hidden="false" customHeight="false" outlineLevel="0" collapsed="false">
      <c r="B166" s="3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38"/>
    </row>
    <row r="167" customFormat="false" ht="14.25" hidden="false" customHeight="false" outlineLevel="0" collapsed="false">
      <c r="B167" s="3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38"/>
    </row>
    <row r="168" customFormat="false" ht="14.25" hidden="false" customHeight="false" outlineLevel="0" collapsed="false">
      <c r="B168" s="3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38"/>
    </row>
    <row r="169" customFormat="false" ht="14.25" hidden="false" customHeight="false" outlineLevel="0" collapsed="false">
      <c r="B169" s="3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38"/>
    </row>
    <row r="170" customFormat="false" ht="14.25" hidden="false" customHeight="false" outlineLevel="0" collapsed="false">
      <c r="B170" s="3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38"/>
    </row>
    <row r="171" customFormat="false" ht="14.25" hidden="false" customHeight="false" outlineLevel="0" collapsed="false">
      <c r="B171" s="3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38"/>
    </row>
    <row r="172" customFormat="false" ht="14.25" hidden="false" customHeight="false" outlineLevel="0" collapsed="false">
      <c r="B172" s="3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38"/>
    </row>
    <row r="173" customFormat="false" ht="14.25" hidden="false" customHeight="false" outlineLevel="0" collapsed="false">
      <c r="B173" s="3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38"/>
    </row>
    <row r="174" customFormat="false" ht="14.25" hidden="false" customHeight="false" outlineLevel="0" collapsed="false">
      <c r="B174" s="3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38"/>
    </row>
    <row r="175" customFormat="false" ht="14.25" hidden="false" customHeight="false" outlineLevel="0" collapsed="false">
      <c r="B175" s="3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38"/>
    </row>
    <row r="176" customFormat="false" ht="14.25" hidden="false" customHeight="false" outlineLevel="0" collapsed="false">
      <c r="B176" s="3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38"/>
    </row>
    <row r="177" customFormat="false" ht="14.25" hidden="false" customHeight="false" outlineLevel="0" collapsed="false">
      <c r="B177" s="3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38"/>
    </row>
    <row r="178" customFormat="false" ht="14.25" hidden="false" customHeight="false" outlineLevel="0" collapsed="false">
      <c r="B178" s="3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38"/>
    </row>
    <row r="179" customFormat="false" ht="14.25" hidden="false" customHeight="false" outlineLevel="0" collapsed="false">
      <c r="B179" s="3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38"/>
    </row>
    <row r="180" customFormat="false" ht="14.25" hidden="false" customHeight="false" outlineLevel="0" collapsed="false">
      <c r="B180" s="3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38"/>
    </row>
    <row r="181" customFormat="false" ht="14.25" hidden="false" customHeight="false" outlineLevel="0" collapsed="false">
      <c r="B181" s="3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38"/>
    </row>
    <row r="182" customFormat="false" ht="14.25" hidden="false" customHeight="false" outlineLevel="0" collapsed="false">
      <c r="B182" s="3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38"/>
    </row>
    <row r="183" customFormat="false" ht="14.25" hidden="false" customHeight="false" outlineLevel="0" collapsed="false">
      <c r="B183" s="3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38"/>
    </row>
    <row r="184" customFormat="false" ht="14.25" hidden="false" customHeight="false" outlineLevel="0" collapsed="false">
      <c r="B184" s="3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38"/>
    </row>
    <row r="185" customFormat="false" ht="14.25" hidden="false" customHeight="false" outlineLevel="0" collapsed="false">
      <c r="B185" s="3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38"/>
    </row>
    <row r="186" customFormat="false" ht="14.25" hidden="false" customHeight="false" outlineLevel="0" collapsed="false">
      <c r="B186" s="3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38"/>
    </row>
    <row r="187" customFormat="false" ht="14.25" hidden="false" customHeight="false" outlineLevel="0" collapsed="false">
      <c r="B187" s="3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38"/>
    </row>
    <row r="188" customFormat="false" ht="14.25" hidden="false" customHeight="false" outlineLevel="0" collapsed="false">
      <c r="B188" s="3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38"/>
    </row>
    <row r="189" customFormat="false" ht="14.25" hidden="false" customHeight="false" outlineLevel="0" collapsed="false">
      <c r="B189" s="3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38"/>
    </row>
    <row r="190" customFormat="false" ht="14.25" hidden="false" customHeight="false" outlineLevel="0" collapsed="false">
      <c r="B190" s="3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38"/>
    </row>
    <row r="191" customFormat="false" ht="14.25" hidden="false" customHeight="false" outlineLevel="0" collapsed="false">
      <c r="B191" s="3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38"/>
    </row>
    <row r="192" customFormat="false" ht="14.25" hidden="false" customHeight="false" outlineLevel="0" collapsed="false">
      <c r="B192" s="3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38"/>
    </row>
    <row r="193" customFormat="false" ht="14.25" hidden="false" customHeight="false" outlineLevel="0" collapsed="false">
      <c r="B193" s="3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38"/>
    </row>
    <row r="194" customFormat="false" ht="14.25" hidden="false" customHeight="false" outlineLevel="0" collapsed="false">
      <c r="B194" s="3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38"/>
    </row>
    <row r="195" customFormat="false" ht="14.25" hidden="false" customHeight="false" outlineLevel="0" collapsed="false">
      <c r="B195" s="3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38"/>
    </row>
    <row r="196" customFormat="false" ht="14.25" hidden="false" customHeight="false" outlineLevel="0" collapsed="false">
      <c r="B196" s="3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38"/>
    </row>
    <row r="197" customFormat="false" ht="14.25" hidden="false" customHeight="false" outlineLevel="0" collapsed="false">
      <c r="B197" s="3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38"/>
    </row>
    <row r="198" customFormat="false" ht="14.25" hidden="false" customHeight="false" outlineLevel="0" collapsed="false">
      <c r="B198" s="3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38"/>
    </row>
    <row r="199" customFormat="false" ht="14.25" hidden="false" customHeight="false" outlineLevel="0" collapsed="false">
      <c r="B199" s="3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38"/>
    </row>
    <row r="200" customFormat="false" ht="14.25" hidden="false" customHeight="false" outlineLevel="0" collapsed="false">
      <c r="B200" s="3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38"/>
    </row>
    <row r="201" customFormat="false" ht="14.25" hidden="false" customHeight="false" outlineLevel="0" collapsed="false">
      <c r="B201" s="3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38"/>
    </row>
    <row r="202" customFormat="false" ht="14.25" hidden="false" customHeight="false" outlineLevel="0" collapsed="false">
      <c r="B202" s="3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38"/>
    </row>
    <row r="203" customFormat="false" ht="14.25" hidden="false" customHeight="false" outlineLevel="0" collapsed="false">
      <c r="B203" s="3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38"/>
    </row>
    <row r="204" customFormat="false" ht="14.25" hidden="false" customHeight="false" outlineLevel="0" collapsed="false">
      <c r="B204" s="3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38"/>
    </row>
    <row r="205" customFormat="false" ht="14.25" hidden="false" customHeight="false" outlineLevel="0" collapsed="false">
      <c r="B205" s="3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38"/>
    </row>
    <row r="206" customFormat="false" ht="30" hidden="false" customHeight="true" outlineLevel="0" collapsed="false"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3"/>
    </row>
    <row r="210" customFormat="false" ht="14.25" hidden="false" customHeight="false" outlineLevel="0" collapsed="false"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5"/>
    </row>
    <row r="211" customFormat="false" ht="33.85" hidden="false" customHeight="false" outlineLevel="0" collapsed="false">
      <c r="B211" s="36"/>
      <c r="C211" s="37" t="s">
        <v>62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38"/>
    </row>
    <row r="212" customFormat="false" ht="14.25" hidden="false" customHeight="false" outlineLevel="0" collapsed="false">
      <c r="B212" s="36"/>
      <c r="C212" s="15" t="s">
        <v>48</v>
      </c>
      <c r="D212" s="15" t="s">
        <v>2</v>
      </c>
      <c r="E212" s="15" t="s">
        <v>3</v>
      </c>
      <c r="F212" s="15" t="s">
        <v>4</v>
      </c>
      <c r="G212" s="15" t="s">
        <v>5</v>
      </c>
      <c r="H212" s="15" t="s">
        <v>6</v>
      </c>
      <c r="I212" s="15" t="s">
        <v>7</v>
      </c>
      <c r="J212" s="7"/>
      <c r="K212" s="39" t="s">
        <v>48</v>
      </c>
      <c r="L212" s="39"/>
      <c r="M212" s="15" t="s">
        <v>2</v>
      </c>
      <c r="N212" s="15" t="s">
        <v>3</v>
      </c>
      <c r="O212" s="15" t="s">
        <v>4</v>
      </c>
      <c r="P212" s="15" t="s">
        <v>5</v>
      </c>
      <c r="Q212" s="15" t="s">
        <v>6</v>
      </c>
      <c r="R212" s="15" t="s">
        <v>7</v>
      </c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38"/>
    </row>
    <row r="213" customFormat="false" ht="14.25" hidden="false" customHeight="false" outlineLevel="0" collapsed="false">
      <c r="B213" s="36"/>
      <c r="C213" s="7" t="s">
        <v>49</v>
      </c>
      <c r="D213" s="7" t="n">
        <v>1</v>
      </c>
      <c r="E213" s="7" t="n">
        <f aca="false">$D214/E214</f>
        <v>1.93510829764786</v>
      </c>
      <c r="F213" s="7" t="n">
        <f aca="false">$D214/F214</f>
        <v>3.68284040442219</v>
      </c>
      <c r="G213" s="7" t="n">
        <f aca="false">$D214/G214</f>
        <v>6.67046037994181</v>
      </c>
      <c r="H213" s="7" t="n">
        <f aca="false">$D214/H214</f>
        <v>8.84550354609929</v>
      </c>
      <c r="I213" s="7" t="n">
        <f aca="false">$D214/I214</f>
        <v>8.84349651143003</v>
      </c>
      <c r="J213" s="7"/>
      <c r="K213" s="40" t="s">
        <v>50</v>
      </c>
      <c r="L213" s="40"/>
      <c r="M213" s="7" t="n">
        <f aca="false">(D213+D216+D219+D222)/4</f>
        <v>1</v>
      </c>
      <c r="N213" s="7" t="n">
        <f aca="false">(E213+E216+E219+E222)/4</f>
        <v>1.92801945331033</v>
      </c>
      <c r="O213" s="7" t="n">
        <f aca="false">(F213+F216+F219+F222)/4</f>
        <v>3.60757542052191</v>
      </c>
      <c r="P213" s="7" t="n">
        <f aca="false">(G213+G216+G219+G222)/4</f>
        <v>6.47804832453144</v>
      </c>
      <c r="Q213" s="7" t="n">
        <f aca="false">(H213+H216+H219+H222)/4</f>
        <v>8.44592798310607</v>
      </c>
      <c r="R213" s="7" t="n">
        <f aca="false">(I213+I216+I219+I222)/4</f>
        <v>8.81754874353758</v>
      </c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38"/>
    </row>
    <row r="214" customFormat="false" ht="14.25" hidden="false" customHeight="false" outlineLevel="0" collapsed="false">
      <c r="B214" s="36"/>
      <c r="C214" s="7" t="s">
        <v>51</v>
      </c>
      <c r="D214" s="7" t="n">
        <f aca="false">'Información completa'!E143</f>
        <v>155902</v>
      </c>
      <c r="E214" s="7" t="n">
        <f aca="false">'Información completa'!F143</f>
        <v>80565</v>
      </c>
      <c r="F214" s="7" t="n">
        <f aca="false">'Información completa'!G143</f>
        <v>42332</v>
      </c>
      <c r="G214" s="7" t="n">
        <f aca="false">'Información completa'!H143</f>
        <v>23372</v>
      </c>
      <c r="H214" s="7" t="n">
        <f aca="false">'Información completa'!I143</f>
        <v>17625</v>
      </c>
      <c r="I214" s="7" t="n">
        <f aca="false">'Información completa'!J143</f>
        <v>17629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38"/>
    </row>
    <row r="215" customFormat="false" ht="14.25" hidden="false" customHeight="false" outlineLevel="0" collapsed="false">
      <c r="B215" s="36"/>
      <c r="C215" s="15" t="s">
        <v>48</v>
      </c>
      <c r="D215" s="15" t="s">
        <v>2</v>
      </c>
      <c r="E215" s="15" t="s">
        <v>3</v>
      </c>
      <c r="F215" s="15" t="s">
        <v>4</v>
      </c>
      <c r="G215" s="15" t="s">
        <v>5</v>
      </c>
      <c r="H215" s="15" t="s">
        <v>6</v>
      </c>
      <c r="I215" s="15" t="s">
        <v>7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38"/>
    </row>
    <row r="216" customFormat="false" ht="14.25" hidden="false" customHeight="false" outlineLevel="0" collapsed="false">
      <c r="B216" s="36"/>
      <c r="C216" s="7" t="s">
        <v>52</v>
      </c>
      <c r="D216" s="7" t="n">
        <v>1</v>
      </c>
      <c r="E216" s="7" t="n">
        <f aca="false">$D217/E217</f>
        <v>1.93547625783476</v>
      </c>
      <c r="F216" s="7" t="n">
        <f aca="false">$D217/F217</f>
        <v>3.63051880608197</v>
      </c>
      <c r="G216" s="7" t="n">
        <f aca="false">$D217/G217</f>
        <v>6.51855173186863</v>
      </c>
      <c r="H216" s="7" t="n">
        <f aca="false">$D217/H217</f>
        <v>8.23391150442478</v>
      </c>
      <c r="I216" s="7" t="n">
        <f aca="false">$D217/I217</f>
        <v>9.43719571567673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38"/>
    </row>
    <row r="217" customFormat="false" ht="14.25" hidden="false" customHeight="false" outlineLevel="0" collapsed="false">
      <c r="B217" s="36"/>
      <c r="C217" s="7" t="s">
        <v>53</v>
      </c>
      <c r="D217" s="7" t="n">
        <f aca="false">'Información completa'!M143</f>
        <v>1279344</v>
      </c>
      <c r="E217" s="7" t="n">
        <f aca="false">'Información completa'!N143</f>
        <v>660997</v>
      </c>
      <c r="F217" s="7" t="n">
        <f aca="false">'Información completa'!O143</f>
        <v>352386</v>
      </c>
      <c r="G217" s="7" t="n">
        <f aca="false">'Información completa'!P143</f>
        <v>196262</v>
      </c>
      <c r="H217" s="7" t="n">
        <f aca="false">'Información completa'!Q143</f>
        <v>155375</v>
      </c>
      <c r="I217" s="7" t="n">
        <f aca="false">'Información completa'!R143</f>
        <v>135564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38"/>
    </row>
    <row r="218" customFormat="false" ht="14.25" hidden="false" customHeight="false" outlineLevel="0" collapsed="false">
      <c r="B218" s="36"/>
      <c r="C218" s="15" t="s">
        <v>48</v>
      </c>
      <c r="D218" s="15" t="s">
        <v>2</v>
      </c>
      <c r="E218" s="15" t="s">
        <v>3</v>
      </c>
      <c r="F218" s="15" t="s">
        <v>4</v>
      </c>
      <c r="G218" s="15" t="s">
        <v>5</v>
      </c>
      <c r="H218" s="15" t="s">
        <v>6</v>
      </c>
      <c r="I218" s="15" t="s">
        <v>7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38"/>
    </row>
    <row r="219" customFormat="false" ht="14.25" hidden="false" customHeight="false" outlineLevel="0" collapsed="false">
      <c r="B219" s="36"/>
      <c r="C219" s="7" t="s">
        <v>56</v>
      </c>
      <c r="D219" s="7" t="n">
        <v>1</v>
      </c>
      <c r="E219" s="7" t="n">
        <f aca="false">$D220/E220</f>
        <v>1.93552245335129</v>
      </c>
      <c r="F219" s="7" t="n">
        <f aca="false">$D220/F220</f>
        <v>3.57682048353749</v>
      </c>
      <c r="G219" s="7" t="n">
        <f aca="false">$D220/G220</f>
        <v>6.43126634884653</v>
      </c>
      <c r="H219" s="7" t="n">
        <f aca="false">$D220/H220</f>
        <v>8.39169244432402</v>
      </c>
      <c r="I219" s="7" t="n">
        <f aca="false">$D220/I220</f>
        <v>9.16740699325998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38"/>
    </row>
    <row r="220" customFormat="false" ht="14.25" hidden="false" customHeight="false" outlineLevel="0" collapsed="false">
      <c r="B220" s="36"/>
      <c r="C220" s="7" t="s">
        <v>57</v>
      </c>
      <c r="D220" s="7" t="n">
        <f aca="false">'Información completa'!U143</f>
        <v>4459916</v>
      </c>
      <c r="E220" s="7" t="n">
        <f aca="false">'Información completa'!V143</f>
        <v>2304244</v>
      </c>
      <c r="F220" s="7" t="n">
        <f aca="false">'Información completa'!W143</f>
        <v>1246894</v>
      </c>
      <c r="G220" s="7" t="n">
        <f aca="false">'Información completa'!X143</f>
        <v>693474</v>
      </c>
      <c r="H220" s="7" t="n">
        <f aca="false">'Información completa'!Y143</f>
        <v>531468</v>
      </c>
      <c r="I220" s="7" t="n">
        <f aca="false">'Información completa'!Z143</f>
        <v>486497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38"/>
    </row>
    <row r="221" customFormat="false" ht="14.25" hidden="false" customHeight="false" outlineLevel="0" collapsed="false">
      <c r="B221" s="36"/>
      <c r="C221" s="15" t="s">
        <v>48</v>
      </c>
      <c r="D221" s="15" t="s">
        <v>2</v>
      </c>
      <c r="E221" s="15" t="s">
        <v>3</v>
      </c>
      <c r="F221" s="15" t="s">
        <v>4</v>
      </c>
      <c r="G221" s="15" t="s">
        <v>5</v>
      </c>
      <c r="H221" s="15" t="s">
        <v>6</v>
      </c>
      <c r="I221" s="15" t="s">
        <v>7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38"/>
    </row>
    <row r="222" customFormat="false" ht="14.25" hidden="false" customHeight="false" outlineLevel="0" collapsed="false">
      <c r="B222" s="36"/>
      <c r="C222" s="7" t="s">
        <v>59</v>
      </c>
      <c r="D222" s="7" t="n">
        <v>1</v>
      </c>
      <c r="E222" s="7" t="n">
        <f aca="false">$D223/E223</f>
        <v>1.90597080440739</v>
      </c>
      <c r="F222" s="7" t="n">
        <f aca="false">$D223/F223</f>
        <v>3.54012198804599</v>
      </c>
      <c r="G222" s="7" t="n">
        <f aca="false">$D223/G223</f>
        <v>6.2919148374688</v>
      </c>
      <c r="H222" s="7" t="n">
        <f aca="false">$D223/H223</f>
        <v>8.31260443757617</v>
      </c>
      <c r="I222" s="7" t="n">
        <f aca="false">$D223/I223</f>
        <v>7.82209575378359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38"/>
    </row>
    <row r="223" customFormat="false" ht="14.25" hidden="false" customHeight="false" outlineLevel="0" collapsed="false">
      <c r="B223" s="36"/>
      <c r="C223" s="7" t="s">
        <v>60</v>
      </c>
      <c r="D223" s="7" t="n">
        <f aca="false">'Información completa'!AC143</f>
        <v>10586002</v>
      </c>
      <c r="E223" s="7" t="n">
        <f aca="false">'Información completa'!AD143</f>
        <v>5554126</v>
      </c>
      <c r="F223" s="7" t="n">
        <f aca="false">'Información completa'!AE143</f>
        <v>2990293</v>
      </c>
      <c r="G223" s="7" t="n">
        <f aca="false">'Información completa'!AF143</f>
        <v>1682477</v>
      </c>
      <c r="H223" s="7" t="n">
        <f aca="false">'Información completa'!AG143</f>
        <v>1273488</v>
      </c>
      <c r="I223" s="7" t="n">
        <f aca="false">'Información completa'!AH143</f>
        <v>1353346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38"/>
    </row>
    <row r="224" customFormat="false" ht="14.25" hidden="false" customHeight="false" outlineLevel="0" collapsed="false">
      <c r="B224" s="3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38"/>
    </row>
    <row r="225" customFormat="false" ht="14.25" hidden="false" customHeight="false" outlineLevel="0" collapsed="false">
      <c r="B225" s="3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38"/>
    </row>
    <row r="226" customFormat="false" ht="14.25" hidden="false" customHeight="false" outlineLevel="0" collapsed="false">
      <c r="B226" s="3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38"/>
    </row>
    <row r="227" customFormat="false" ht="14.25" hidden="false" customHeight="false" outlineLevel="0" collapsed="false">
      <c r="B227" s="3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38"/>
    </row>
    <row r="228" customFormat="false" ht="14.25" hidden="false" customHeight="false" outlineLevel="0" collapsed="false">
      <c r="B228" s="3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38"/>
    </row>
    <row r="229" customFormat="false" ht="14.25" hidden="false" customHeight="false" outlineLevel="0" collapsed="false">
      <c r="B229" s="3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38"/>
    </row>
    <row r="230" customFormat="false" ht="14.25" hidden="false" customHeight="false" outlineLevel="0" collapsed="false">
      <c r="B230" s="3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38"/>
    </row>
    <row r="231" customFormat="false" ht="14.25" hidden="false" customHeight="false" outlineLevel="0" collapsed="false">
      <c r="B231" s="3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38"/>
    </row>
    <row r="232" customFormat="false" ht="14.25" hidden="false" customHeight="false" outlineLevel="0" collapsed="false">
      <c r="B232" s="3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38"/>
    </row>
    <row r="233" customFormat="false" ht="14.25" hidden="false" customHeight="false" outlineLevel="0" collapsed="false">
      <c r="B233" s="3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38"/>
    </row>
    <row r="234" customFormat="false" ht="14.25" hidden="false" customHeight="false" outlineLevel="0" collapsed="false">
      <c r="B234" s="3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38"/>
    </row>
    <row r="235" customFormat="false" ht="14.25" hidden="false" customHeight="false" outlineLevel="0" collapsed="false">
      <c r="B235" s="3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38"/>
    </row>
    <row r="236" customFormat="false" ht="14.25" hidden="false" customHeight="false" outlineLevel="0" collapsed="false">
      <c r="B236" s="3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38"/>
    </row>
    <row r="237" customFormat="false" ht="14.25" hidden="false" customHeight="false" outlineLevel="0" collapsed="false">
      <c r="B237" s="3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38"/>
    </row>
    <row r="238" customFormat="false" ht="14.25" hidden="false" customHeight="false" outlineLevel="0" collapsed="false">
      <c r="B238" s="3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38"/>
    </row>
    <row r="239" customFormat="false" ht="14.25" hidden="false" customHeight="false" outlineLevel="0" collapsed="false">
      <c r="B239" s="3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38"/>
    </row>
    <row r="240" customFormat="false" ht="14.25" hidden="false" customHeight="false" outlineLevel="0" collapsed="false">
      <c r="B240" s="3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38"/>
    </row>
    <row r="241" customFormat="false" ht="14.25" hidden="false" customHeight="false" outlineLevel="0" collapsed="false">
      <c r="B241" s="3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38"/>
    </row>
    <row r="242" customFormat="false" ht="14.25" hidden="false" customHeight="false" outlineLevel="0" collapsed="false">
      <c r="B242" s="3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38"/>
    </row>
    <row r="243" customFormat="false" ht="14.25" hidden="false" customHeight="false" outlineLevel="0" collapsed="false">
      <c r="B243" s="3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38"/>
    </row>
    <row r="244" customFormat="false" ht="14.25" hidden="false" customHeight="false" outlineLevel="0" collapsed="false">
      <c r="B244" s="3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38"/>
    </row>
    <row r="245" customFormat="false" ht="14.25" hidden="false" customHeight="false" outlineLevel="0" collapsed="false">
      <c r="B245" s="3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38"/>
    </row>
    <row r="246" customFormat="false" ht="14.25" hidden="false" customHeight="false" outlineLevel="0" collapsed="false">
      <c r="B246" s="3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38"/>
    </row>
    <row r="247" customFormat="false" ht="14.25" hidden="false" customHeight="false" outlineLevel="0" collapsed="false">
      <c r="B247" s="3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38"/>
    </row>
    <row r="248" customFormat="false" ht="14.25" hidden="false" customHeight="false" outlineLevel="0" collapsed="false">
      <c r="B248" s="3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38"/>
    </row>
    <row r="249" customFormat="false" ht="14.25" hidden="false" customHeight="false" outlineLevel="0" collapsed="false">
      <c r="B249" s="3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38"/>
    </row>
    <row r="250" customFormat="false" ht="14.25" hidden="false" customHeight="false" outlineLevel="0" collapsed="false">
      <c r="B250" s="3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38"/>
    </row>
    <row r="251" customFormat="false" ht="14.25" hidden="false" customHeight="false" outlineLevel="0" collapsed="false">
      <c r="B251" s="3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38"/>
    </row>
    <row r="252" customFormat="false" ht="14.25" hidden="false" customHeight="false" outlineLevel="0" collapsed="false">
      <c r="B252" s="3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38"/>
    </row>
    <row r="253" customFormat="false" ht="14.25" hidden="false" customHeight="false" outlineLevel="0" collapsed="false">
      <c r="B253" s="3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38"/>
    </row>
    <row r="254" customFormat="false" ht="14.25" hidden="false" customHeight="false" outlineLevel="0" collapsed="false">
      <c r="B254" s="3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38"/>
    </row>
    <row r="255" customFormat="false" ht="14.25" hidden="false" customHeight="false" outlineLevel="0" collapsed="false">
      <c r="B255" s="3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38"/>
    </row>
    <row r="256" customFormat="false" ht="14.25" hidden="false" customHeight="false" outlineLevel="0" collapsed="false">
      <c r="B256" s="3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38"/>
    </row>
    <row r="257" customFormat="false" ht="14.25" hidden="false" customHeight="false" outlineLevel="0" collapsed="false">
      <c r="B257" s="3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38"/>
    </row>
    <row r="258" customFormat="false" ht="14.25" hidden="false" customHeight="false" outlineLevel="0" collapsed="false">
      <c r="B258" s="3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38"/>
    </row>
    <row r="259" customFormat="false" ht="14.25" hidden="false" customHeight="false" outlineLevel="0" collapsed="false">
      <c r="B259" s="3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38"/>
    </row>
    <row r="260" customFormat="false" ht="14.25" hidden="false" customHeight="false" outlineLevel="0" collapsed="false">
      <c r="B260" s="3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38"/>
    </row>
    <row r="261" customFormat="false" ht="14.25" hidden="false" customHeight="false" outlineLevel="0" collapsed="false">
      <c r="B261" s="3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38"/>
    </row>
    <row r="262" customFormat="false" ht="14.25" hidden="false" customHeight="false" outlineLevel="0" collapsed="false">
      <c r="B262" s="3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38"/>
    </row>
    <row r="263" customFormat="false" ht="14.25" hidden="false" customHeight="false" outlineLevel="0" collapsed="false">
      <c r="B263" s="3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38"/>
    </row>
    <row r="264" customFormat="false" ht="14.25" hidden="false" customHeight="false" outlineLevel="0" collapsed="false">
      <c r="B264" s="3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38"/>
    </row>
    <row r="265" customFormat="false" ht="14.25" hidden="false" customHeight="false" outlineLevel="0" collapsed="false">
      <c r="B265" s="3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38"/>
    </row>
    <row r="266" customFormat="false" ht="14.25" hidden="false" customHeight="false" outlineLevel="0" collapsed="false">
      <c r="B266" s="3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38"/>
    </row>
    <row r="267" customFormat="false" ht="14.25" hidden="false" customHeight="false" outlineLevel="0" collapsed="false">
      <c r="B267" s="3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38"/>
    </row>
    <row r="268" customFormat="false" ht="14.25" hidden="false" customHeight="false" outlineLevel="0" collapsed="false">
      <c r="B268" s="3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38"/>
    </row>
    <row r="269" customFormat="false" ht="14.25" hidden="false" customHeight="false" outlineLevel="0" collapsed="false">
      <c r="B269" s="3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38"/>
    </row>
    <row r="270" customFormat="false" ht="14.25" hidden="false" customHeight="false" outlineLevel="0" collapsed="false">
      <c r="B270" s="3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38"/>
    </row>
    <row r="271" customFormat="false" ht="14.25" hidden="false" customHeight="false" outlineLevel="0" collapsed="false">
      <c r="B271" s="3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38"/>
    </row>
    <row r="272" customFormat="false" ht="14.25" hidden="false" customHeight="false" outlineLevel="0" collapsed="false">
      <c r="B272" s="3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38"/>
    </row>
    <row r="273" customFormat="false" ht="14.25" hidden="false" customHeight="false" outlineLevel="0" collapsed="false">
      <c r="B273" s="3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38"/>
    </row>
    <row r="274" customFormat="false" ht="28.5" hidden="false" customHeight="true" outlineLevel="0" collapsed="false"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3"/>
    </row>
  </sheetData>
  <mergeCells count="8">
    <mergeCell ref="K8:L8"/>
    <mergeCell ref="K9:L9"/>
    <mergeCell ref="K76:L76"/>
    <mergeCell ref="K77:L77"/>
    <mergeCell ref="K144:L144"/>
    <mergeCell ref="K145:L145"/>
    <mergeCell ref="K212:L212"/>
    <mergeCell ref="K213:L2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O152"/>
  <sheetViews>
    <sheetView showFormulas="false" showGridLines="true" showRowColHeaders="true" showZeros="true" rightToLeft="false" tabSelected="false" showOutlineSymbols="true" defaultGridColor="true" view="normal" topLeftCell="A1" colorId="64" zoomScale="36" zoomScaleNormal="36" zoomScalePageLayoutView="100" workbookViewId="0">
      <selection pane="topLeft" activeCell="AA122" activeCellId="0" sqref="AA122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2.78"/>
    <col collapsed="false" customWidth="true" hidden="false" outlineLevel="0" max="3" min="3" style="0" width="19.89"/>
    <col collapsed="false" customWidth="true" hidden="false" outlineLevel="0" max="4" min="4" style="0" width="21.78"/>
    <col collapsed="false" customWidth="true" hidden="false" outlineLevel="0" max="15" min="15" style="0" width="2.78"/>
  </cols>
  <sheetData>
    <row r="3" customFormat="false" ht="14.25" hidden="false" customHeight="false" outlineLevel="0" collapsed="false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customFormat="false" ht="33.85" hidden="false" customHeight="false" outlineLevel="0" collapsed="false">
      <c r="B4" s="36"/>
      <c r="C4" s="7"/>
      <c r="D4" s="37" t="s">
        <v>63</v>
      </c>
      <c r="E4" s="7"/>
      <c r="F4" s="7"/>
      <c r="G4" s="7"/>
      <c r="H4" s="7"/>
      <c r="I4" s="7"/>
      <c r="J4" s="7"/>
      <c r="K4" s="7"/>
      <c r="L4" s="7"/>
      <c r="M4" s="7"/>
      <c r="N4" s="7"/>
      <c r="O4" s="38"/>
    </row>
    <row r="5" customFormat="false" ht="14.25" hidden="false" customHeight="false" outlineLevel="0" collapsed="false">
      <c r="B5" s="36"/>
      <c r="C5" s="44"/>
      <c r="D5" s="15" t="str">
        <f aca="false" t="array" ref="D5:J5">'Gráficas SpeedUp'!C8:I8</f>
        <v># Hilos</v>
      </c>
      <c r="E5" s="15" t="str">
        <v>1 hilo</v>
      </c>
      <c r="F5" s="15" t="str">
        <v>2 hilos</v>
      </c>
      <c r="G5" s="15" t="str">
        <v>4 hilos</v>
      </c>
      <c r="H5" s="15" t="str">
        <v>8 hilos</v>
      </c>
      <c r="I5" s="15" t="str">
        <v>12 hilos</v>
      </c>
      <c r="J5" s="15" t="str">
        <v>32 hilos</v>
      </c>
      <c r="K5" s="7"/>
      <c r="L5" s="7"/>
      <c r="M5" s="7"/>
      <c r="N5" s="7"/>
      <c r="O5" s="38"/>
    </row>
    <row r="6" customFormat="false" ht="14.25" hidden="false" customHeight="true" outlineLevel="0" collapsed="false">
      <c r="B6" s="36"/>
      <c r="C6" s="45" t="s">
        <v>64</v>
      </c>
      <c r="D6" s="46" t="s">
        <v>47</v>
      </c>
      <c r="E6" s="7" t="n">
        <f aca="false" t="array" ref="E6:J6">'Gráficas SpeedUp'!D10:I10</f>
        <v>166048</v>
      </c>
      <c r="F6" s="7" t="n">
        <v>86483</v>
      </c>
      <c r="G6" s="7" t="n">
        <v>48893</v>
      </c>
      <c r="H6" s="7" t="n">
        <v>28005</v>
      </c>
      <c r="I6" s="7" t="n">
        <v>29068</v>
      </c>
      <c r="J6" s="7" t="n">
        <v>33560</v>
      </c>
      <c r="K6" s="7"/>
      <c r="L6" s="7"/>
      <c r="M6" s="7"/>
      <c r="N6" s="7"/>
      <c r="O6" s="38"/>
    </row>
    <row r="7" customFormat="false" ht="14.25" hidden="false" customHeight="false" outlineLevel="0" collapsed="false">
      <c r="B7" s="36"/>
      <c r="C7" s="45"/>
      <c r="D7" s="46" t="s">
        <v>65</v>
      </c>
      <c r="E7" s="7" t="n">
        <f aca="false" t="array" ref="E7:J7">'Gráficas SpeedUp'!D78:I78</f>
        <v>158006</v>
      </c>
      <c r="F7" s="7" t="n">
        <v>81795</v>
      </c>
      <c r="G7" s="7" t="n">
        <v>43578</v>
      </c>
      <c r="H7" s="7" t="n">
        <v>25078</v>
      </c>
      <c r="I7" s="7" t="n">
        <v>20424</v>
      </c>
      <c r="J7" s="7" t="n">
        <v>27629</v>
      </c>
      <c r="K7" s="7"/>
      <c r="L7" s="7"/>
      <c r="M7" s="7"/>
      <c r="N7" s="7"/>
      <c r="O7" s="38"/>
    </row>
    <row r="8" customFormat="false" ht="14.25" hidden="false" customHeight="false" outlineLevel="0" collapsed="false">
      <c r="B8" s="36"/>
      <c r="C8" s="45"/>
      <c r="D8" s="46" t="s">
        <v>61</v>
      </c>
      <c r="E8" s="7" t="n">
        <f aca="false" t="array" ref="E8:J8">'Gráficas SpeedUp'!D146:I146</f>
        <v>159210</v>
      </c>
      <c r="F8" s="7" t="n">
        <v>82472</v>
      </c>
      <c r="G8" s="7" t="n">
        <v>45282</v>
      </c>
      <c r="H8" s="7" t="n">
        <v>25986</v>
      </c>
      <c r="I8" s="7" t="n">
        <v>26568</v>
      </c>
      <c r="J8" s="7" t="n">
        <v>23775</v>
      </c>
      <c r="K8" s="7"/>
      <c r="L8" s="7"/>
      <c r="M8" s="7"/>
      <c r="N8" s="7"/>
      <c r="O8" s="38"/>
    </row>
    <row r="9" customFormat="false" ht="14.25" hidden="false" customHeight="false" outlineLevel="0" collapsed="false">
      <c r="B9" s="36"/>
      <c r="C9" s="45"/>
      <c r="D9" s="46" t="s">
        <v>62</v>
      </c>
      <c r="E9" s="7" t="n">
        <f aca="false" t="array" ref="E9:J9">'Gráficas SpeedUp'!D214:I214</f>
        <v>155902</v>
      </c>
      <c r="F9" s="7" t="n">
        <v>80565</v>
      </c>
      <c r="G9" s="7" t="n">
        <v>42332</v>
      </c>
      <c r="H9" s="7" t="n">
        <v>23372</v>
      </c>
      <c r="I9" s="7" t="n">
        <v>17625</v>
      </c>
      <c r="J9" s="7" t="n">
        <v>17629</v>
      </c>
      <c r="K9" s="7"/>
      <c r="L9" s="7"/>
      <c r="M9" s="7"/>
      <c r="N9" s="7"/>
      <c r="O9" s="38"/>
    </row>
    <row r="10" customFormat="false" ht="14.25" hidden="false" customHeight="false" outlineLevel="0" collapsed="false">
      <c r="B10" s="3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38"/>
    </row>
    <row r="11" customFormat="false" ht="14.25" hidden="false" customHeight="false" outlineLevel="0" collapsed="false">
      <c r="B11" s="3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38"/>
    </row>
    <row r="12" customFormat="false" ht="14.25" hidden="false" customHeight="false" outlineLevel="0" collapsed="false">
      <c r="B12" s="3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38"/>
    </row>
    <row r="13" customFormat="false" ht="14.25" hidden="false" customHeight="false" outlineLevel="0" collapsed="false">
      <c r="B13" s="3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38"/>
    </row>
    <row r="14" customFormat="false" ht="14.25" hidden="false" customHeight="false" outlineLevel="0" collapsed="false">
      <c r="B14" s="3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38"/>
    </row>
    <row r="15" customFormat="false" ht="14.25" hidden="false" customHeight="false" outlineLevel="0" collapsed="false">
      <c r="B15" s="3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38"/>
    </row>
    <row r="16" customFormat="false" ht="14.25" hidden="false" customHeight="false" outlineLevel="0" collapsed="false">
      <c r="B16" s="3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38"/>
    </row>
    <row r="17" customFormat="false" ht="14.25" hidden="false" customHeight="false" outlineLevel="0" collapsed="false">
      <c r="B17" s="3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38"/>
    </row>
    <row r="18" customFormat="false" ht="14.25" hidden="false" customHeight="false" outlineLevel="0" collapsed="false">
      <c r="B18" s="3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38"/>
    </row>
    <row r="19" customFormat="false" ht="14.25" hidden="false" customHeight="false" outlineLevel="0" collapsed="false">
      <c r="B19" s="3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38"/>
    </row>
    <row r="20" customFormat="false" ht="14.25" hidden="false" customHeight="false" outlineLevel="0" collapsed="false">
      <c r="B20" s="3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8"/>
    </row>
    <row r="21" customFormat="false" ht="14.25" hidden="false" customHeight="false" outlineLevel="0" collapsed="false">
      <c r="B21" s="3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38"/>
    </row>
    <row r="22" customFormat="false" ht="14.25" hidden="false" customHeight="false" outlineLevel="0" collapsed="false">
      <c r="B22" s="3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38"/>
    </row>
    <row r="23" customFormat="false" ht="14.25" hidden="false" customHeight="false" outlineLevel="0" collapsed="false">
      <c r="B23" s="3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38"/>
    </row>
    <row r="24" customFormat="false" ht="14.25" hidden="false" customHeight="false" outlineLevel="0" collapsed="false">
      <c r="B24" s="3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38"/>
    </row>
    <row r="25" customFormat="false" ht="14.25" hidden="false" customHeight="false" outlineLevel="0" collapsed="false">
      <c r="B25" s="3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38"/>
    </row>
    <row r="26" customFormat="false" ht="14.25" hidden="false" customHeight="false" outlineLevel="0" collapsed="false">
      <c r="B26" s="3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8"/>
    </row>
    <row r="27" customFormat="false" ht="14.25" hidden="false" customHeight="false" outlineLevel="0" collapsed="false">
      <c r="B27" s="3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38"/>
    </row>
    <row r="28" customFormat="false" ht="14.25" hidden="false" customHeight="false" outlineLevel="0" collapsed="false">
      <c r="B28" s="3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38"/>
    </row>
    <row r="29" customFormat="false" ht="14.25" hidden="false" customHeight="false" outlineLevel="0" collapsed="false">
      <c r="B29" s="3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38"/>
    </row>
    <row r="30" customFormat="false" ht="14.25" hidden="false" customHeight="false" outlineLevel="0" collapsed="false">
      <c r="B30" s="3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38"/>
    </row>
    <row r="31" customFormat="false" ht="14.25" hidden="false" customHeight="false" outlineLevel="0" collapsed="false">
      <c r="B31" s="3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38"/>
    </row>
    <row r="32" customFormat="false" ht="14.25" hidden="false" customHeight="false" outlineLevel="0" collapsed="false">
      <c r="B32" s="3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8"/>
    </row>
    <row r="33" customFormat="false" ht="14.25" hidden="false" customHeight="false" outlineLevel="0" collapsed="false">
      <c r="B33" s="3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38"/>
    </row>
    <row r="34" customFormat="false" ht="14.25" hidden="false" customHeight="false" outlineLevel="0" collapsed="false">
      <c r="B34" s="3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38"/>
    </row>
    <row r="35" customFormat="false" ht="14.25" hidden="false" customHeight="false" outlineLevel="0" collapsed="false">
      <c r="B35" s="3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38"/>
    </row>
    <row r="36" customFormat="false" ht="14.25" hidden="false" customHeight="false" outlineLevel="0" collapsed="false">
      <c r="B36" s="3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38"/>
    </row>
    <row r="37" customFormat="false" ht="14.25" hidden="false" customHeight="false" outlineLevel="0" collapsed="false"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3"/>
    </row>
    <row r="41" customFormat="false" ht="14.25" hidden="false" customHeight="false" outlineLevel="0" collapsed="false"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5"/>
    </row>
    <row r="42" customFormat="false" ht="33.85" hidden="false" customHeight="false" outlineLevel="0" collapsed="false">
      <c r="B42" s="36"/>
      <c r="C42" s="7"/>
      <c r="D42" s="37" t="s">
        <v>66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38"/>
    </row>
    <row r="43" customFormat="false" ht="14.25" hidden="false" customHeight="false" outlineLevel="0" collapsed="false">
      <c r="B43" s="36"/>
      <c r="C43" s="44"/>
      <c r="D43" s="15" t="str">
        <f aca="false" t="array" ref="D43:J43">'Gráficas SpeedUp'!C76:I76</f>
        <v># Hilos</v>
      </c>
      <c r="E43" s="15" t="str">
        <v>1 hilo</v>
      </c>
      <c r="F43" s="15" t="str">
        <v>2 hilos</v>
      </c>
      <c r="G43" s="15" t="str">
        <v>4 hilos</v>
      </c>
      <c r="H43" s="15" t="str">
        <v>8 hilos</v>
      </c>
      <c r="I43" s="15" t="str">
        <v>12 hilos</v>
      </c>
      <c r="J43" s="15" t="str">
        <v>32 hilos</v>
      </c>
      <c r="K43" s="7"/>
      <c r="L43" s="7"/>
      <c r="M43" s="7"/>
      <c r="N43" s="7"/>
      <c r="O43" s="38"/>
    </row>
    <row r="44" customFormat="false" ht="14.25" hidden="false" customHeight="true" outlineLevel="0" collapsed="false">
      <c r="B44" s="36"/>
      <c r="C44" s="45" t="s">
        <v>64</v>
      </c>
      <c r="D44" s="46" t="s">
        <v>47</v>
      </c>
      <c r="E44" s="7" t="n">
        <f aca="false" t="array" ref="E44:J44">'Gráficas SpeedUp'!D13:I13</f>
        <v>1470261</v>
      </c>
      <c r="F44" s="7" t="n">
        <v>774087</v>
      </c>
      <c r="G44" s="7" t="n">
        <v>430404</v>
      </c>
      <c r="H44" s="7" t="n">
        <v>243755</v>
      </c>
      <c r="I44" s="7" t="n">
        <v>293480</v>
      </c>
      <c r="J44" s="7" t="n">
        <v>403824</v>
      </c>
      <c r="K44" s="7"/>
      <c r="L44" s="7"/>
      <c r="M44" s="7"/>
      <c r="N44" s="7"/>
      <c r="O44" s="38"/>
    </row>
    <row r="45" customFormat="false" ht="14.25" hidden="false" customHeight="false" outlineLevel="0" collapsed="false">
      <c r="B45" s="36"/>
      <c r="C45" s="45"/>
      <c r="D45" s="46" t="s">
        <v>65</v>
      </c>
      <c r="E45" s="7" t="n">
        <f aca="false" t="array" ref="E45:J45">'Gráficas SpeedUp'!D81:I81</f>
        <v>1286535</v>
      </c>
      <c r="F45" s="7" t="n">
        <v>663879</v>
      </c>
      <c r="G45" s="7" t="n">
        <v>349535</v>
      </c>
      <c r="H45" s="7" t="n">
        <v>197312</v>
      </c>
      <c r="I45" s="7" t="n">
        <v>160418</v>
      </c>
      <c r="J45" s="7" t="n">
        <v>163579</v>
      </c>
      <c r="K45" s="7"/>
      <c r="L45" s="7"/>
      <c r="M45" s="7"/>
      <c r="N45" s="7"/>
      <c r="O45" s="38"/>
    </row>
    <row r="46" customFormat="false" ht="14.25" hidden="false" customHeight="false" outlineLevel="0" collapsed="false">
      <c r="B46" s="36"/>
      <c r="C46" s="45"/>
      <c r="D46" s="46" t="s">
        <v>61</v>
      </c>
      <c r="E46" s="7" t="n">
        <f aca="false" t="array" ref="E46:J46">'Gráficas SpeedUp'!D149:I149</f>
        <v>1429497</v>
      </c>
      <c r="F46" s="7" t="n">
        <v>739018</v>
      </c>
      <c r="G46" s="7" t="n">
        <v>409038</v>
      </c>
      <c r="H46" s="7" t="n">
        <v>228107</v>
      </c>
      <c r="I46" s="7" t="n">
        <v>289525</v>
      </c>
      <c r="J46" s="7" t="n">
        <v>385648</v>
      </c>
      <c r="K46" s="7"/>
      <c r="L46" s="7"/>
      <c r="M46" s="7"/>
      <c r="N46" s="7"/>
      <c r="O46" s="38"/>
    </row>
    <row r="47" customFormat="false" ht="14.25" hidden="false" customHeight="false" outlineLevel="0" collapsed="false">
      <c r="B47" s="36"/>
      <c r="C47" s="45"/>
      <c r="D47" s="46" t="s">
        <v>62</v>
      </c>
      <c r="E47" s="7" t="n">
        <f aca="false" t="array" ref="E47:J47">'Gráficas SpeedUp'!D217:I217</f>
        <v>1279344</v>
      </c>
      <c r="F47" s="7" t="n">
        <v>660997</v>
      </c>
      <c r="G47" s="7" t="n">
        <v>352386</v>
      </c>
      <c r="H47" s="7" t="n">
        <v>196262</v>
      </c>
      <c r="I47" s="7" t="n">
        <v>155375</v>
      </c>
      <c r="J47" s="7" t="n">
        <v>135564</v>
      </c>
      <c r="K47" s="7"/>
      <c r="L47" s="7"/>
      <c r="M47" s="7"/>
      <c r="N47" s="7"/>
      <c r="O47" s="38"/>
    </row>
    <row r="48" customFormat="false" ht="14.25" hidden="false" customHeight="false" outlineLevel="0" collapsed="false">
      <c r="B48" s="3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38"/>
    </row>
    <row r="49" customFormat="false" ht="14.25" hidden="false" customHeight="false" outlineLevel="0" collapsed="false">
      <c r="B49" s="3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38"/>
    </row>
    <row r="50" customFormat="false" ht="14.25" hidden="false" customHeight="false" outlineLevel="0" collapsed="false">
      <c r="B50" s="3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38"/>
    </row>
    <row r="51" customFormat="false" ht="14.25" hidden="false" customHeight="false" outlineLevel="0" collapsed="false">
      <c r="B51" s="3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38"/>
    </row>
    <row r="52" customFormat="false" ht="14.25" hidden="false" customHeight="false" outlineLevel="0" collapsed="false">
      <c r="B52" s="3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38"/>
    </row>
    <row r="53" customFormat="false" ht="14.25" hidden="false" customHeight="false" outlineLevel="0" collapsed="false">
      <c r="B53" s="3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38"/>
    </row>
    <row r="54" customFormat="false" ht="14.25" hidden="false" customHeight="false" outlineLevel="0" collapsed="false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38"/>
    </row>
    <row r="55" customFormat="false" ht="14.25" hidden="false" customHeight="false" outlineLevel="0" collapsed="false">
      <c r="B55" s="3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38"/>
    </row>
    <row r="56" customFormat="false" ht="14.25" hidden="false" customHeight="false" outlineLevel="0" collapsed="false">
      <c r="B56" s="3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38"/>
    </row>
    <row r="57" customFormat="false" ht="14.25" hidden="false" customHeight="false" outlineLevel="0" collapsed="false">
      <c r="B57" s="3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38"/>
    </row>
    <row r="58" customFormat="false" ht="14.25" hidden="false" customHeight="false" outlineLevel="0" collapsed="false">
      <c r="B58" s="3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38"/>
    </row>
    <row r="59" customFormat="false" ht="14.25" hidden="false" customHeight="false" outlineLevel="0" collapsed="false">
      <c r="B59" s="3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8"/>
    </row>
    <row r="60" customFormat="false" ht="14.25" hidden="false" customHeight="false" outlineLevel="0" collapsed="false">
      <c r="B60" s="3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38"/>
    </row>
    <row r="61" customFormat="false" ht="14.25" hidden="false" customHeight="false" outlineLevel="0" collapsed="false">
      <c r="B61" s="3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38"/>
    </row>
    <row r="62" customFormat="false" ht="14.25" hidden="false" customHeight="false" outlineLevel="0" collapsed="false">
      <c r="B62" s="3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38"/>
    </row>
    <row r="63" customFormat="false" ht="14.25" hidden="false" customHeight="false" outlineLevel="0" collapsed="false">
      <c r="B63" s="3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38"/>
    </row>
    <row r="64" customFormat="false" ht="14.25" hidden="false" customHeight="false" outlineLevel="0" collapsed="false">
      <c r="B64" s="3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38"/>
    </row>
    <row r="65" customFormat="false" ht="14.25" hidden="false" customHeight="false" outlineLevel="0" collapsed="false">
      <c r="B65" s="3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38"/>
    </row>
    <row r="66" customFormat="false" ht="14.25" hidden="false" customHeight="false" outlineLevel="0" collapsed="false">
      <c r="B66" s="3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38"/>
    </row>
    <row r="67" customFormat="false" ht="14.25" hidden="false" customHeight="false" outlineLevel="0" collapsed="false">
      <c r="B67" s="3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38"/>
    </row>
    <row r="68" customFormat="false" ht="14.25" hidden="false" customHeight="false" outlineLevel="0" collapsed="false">
      <c r="B68" s="3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38"/>
    </row>
    <row r="69" customFormat="false" ht="14.25" hidden="false" customHeight="false" outlineLevel="0" collapsed="false">
      <c r="B69" s="3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38"/>
    </row>
    <row r="70" customFormat="false" ht="14.25" hidden="false" customHeight="false" outlineLevel="0" collapsed="false">
      <c r="B70" s="3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38"/>
    </row>
    <row r="71" customFormat="false" ht="14.25" hidden="false" customHeight="false" outlineLevel="0" collapsed="false">
      <c r="B71" s="3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38"/>
    </row>
    <row r="72" customFormat="false" ht="14.25" hidden="false" customHeight="false" outlineLevel="0" collapsed="false">
      <c r="B72" s="3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8"/>
    </row>
    <row r="73" customFormat="false" ht="14.25" hidden="false" customHeight="false" outlineLevel="0" collapsed="false">
      <c r="B73" s="3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38"/>
    </row>
    <row r="74" customFormat="false" ht="14.25" hidden="false" customHeight="false" outlineLevel="0" collapsed="false">
      <c r="B74" s="3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38"/>
    </row>
    <row r="75" customFormat="false" ht="14.25" hidden="false" customHeight="false" outlineLevel="0" collapsed="false"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3"/>
    </row>
    <row r="79" customFormat="false" ht="14.25" hidden="false" customHeight="false" outlineLevel="0" collapsed="false">
      <c r="B79" s="47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9"/>
    </row>
    <row r="80" customFormat="false" ht="33.85" hidden="false" customHeight="false" outlineLevel="0" collapsed="false">
      <c r="B80" s="50"/>
      <c r="C80" s="7"/>
      <c r="D80" s="37" t="s">
        <v>67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51"/>
    </row>
    <row r="81" customFormat="false" ht="14.25" hidden="false" customHeight="false" outlineLevel="0" collapsed="false">
      <c r="B81" s="50"/>
      <c r="C81" s="44"/>
      <c r="D81" s="15" t="str">
        <f aca="false" t="array" ref="D81:J81">'Gráficas SpeedUp'!C144:I144</f>
        <v># Hilos</v>
      </c>
      <c r="E81" s="15" t="str">
        <v>1 hilo</v>
      </c>
      <c r="F81" s="15" t="str">
        <v>2 hilos</v>
      </c>
      <c r="G81" s="15" t="str">
        <v>4 hilos</v>
      </c>
      <c r="H81" s="15" t="str">
        <v>8 hilos</v>
      </c>
      <c r="I81" s="15" t="str">
        <v>12 hilos</v>
      </c>
      <c r="J81" s="15" t="str">
        <v>32 hilos</v>
      </c>
      <c r="K81" s="7"/>
      <c r="L81" s="7"/>
      <c r="M81" s="7"/>
      <c r="N81" s="7"/>
      <c r="O81" s="51"/>
    </row>
    <row r="82" customFormat="false" ht="14.25" hidden="false" customHeight="false" outlineLevel="0" collapsed="false">
      <c r="B82" s="50"/>
      <c r="C82" s="45" t="s">
        <v>64</v>
      </c>
      <c r="D82" s="46" t="s">
        <v>47</v>
      </c>
      <c r="E82" s="7" t="n">
        <f aca="false" t="array" ref="E82:J82">'Gráficas SpeedUp'!D16:I16</f>
        <v>6620212</v>
      </c>
      <c r="F82" s="7" t="n">
        <v>3980169</v>
      </c>
      <c r="G82" s="7" t="n">
        <v>2149252</v>
      </c>
      <c r="H82" s="7" t="n">
        <v>1223579</v>
      </c>
      <c r="I82" s="7" t="n">
        <v>1351714</v>
      </c>
      <c r="J82" s="7" t="n">
        <v>1890962</v>
      </c>
      <c r="K82" s="7"/>
      <c r="L82" s="7"/>
      <c r="M82" s="7"/>
      <c r="N82" s="7"/>
      <c r="O82" s="51"/>
    </row>
    <row r="83" customFormat="false" ht="14.25" hidden="false" customHeight="false" outlineLevel="0" collapsed="false">
      <c r="B83" s="50"/>
      <c r="C83" s="45"/>
      <c r="D83" s="46" t="s">
        <v>65</v>
      </c>
      <c r="E83" s="7" t="n">
        <f aca="false" t="array" ref="E83:J83">'Gráficas SpeedUp'!D84:I84</f>
        <v>4427262</v>
      </c>
      <c r="F83" s="7" t="n">
        <v>2310463</v>
      </c>
      <c r="G83" s="7" t="n">
        <v>1233896</v>
      </c>
      <c r="H83" s="7" t="n">
        <v>701085</v>
      </c>
      <c r="I83" s="7" t="n">
        <v>550326</v>
      </c>
      <c r="J83" s="7" t="n">
        <v>528818</v>
      </c>
      <c r="K83" s="7"/>
      <c r="L83" s="7"/>
      <c r="M83" s="7"/>
      <c r="N83" s="7"/>
      <c r="O83" s="51"/>
    </row>
    <row r="84" customFormat="false" ht="14.25" hidden="false" customHeight="false" outlineLevel="0" collapsed="false">
      <c r="B84" s="50"/>
      <c r="C84" s="45"/>
      <c r="D84" s="46" t="s">
        <v>61</v>
      </c>
      <c r="E84" s="7" t="n">
        <f aca="false" t="array" ref="E84:J84">'Gráficas SpeedUp'!D152:I152</f>
        <v>6562638</v>
      </c>
      <c r="F84" s="7" t="n">
        <v>3974350</v>
      </c>
      <c r="G84" s="7" t="n">
        <v>2164768</v>
      </c>
      <c r="H84" s="7" t="n">
        <v>1236078</v>
      </c>
      <c r="I84" s="7" t="n">
        <v>1361710</v>
      </c>
      <c r="J84" s="7" t="n">
        <v>1828974</v>
      </c>
      <c r="K84" s="7"/>
      <c r="L84" s="7"/>
      <c r="M84" s="7"/>
      <c r="N84" s="7"/>
      <c r="O84" s="51"/>
    </row>
    <row r="85" customFormat="false" ht="14.25" hidden="false" customHeight="false" outlineLevel="0" collapsed="false">
      <c r="B85" s="50"/>
      <c r="C85" s="45"/>
      <c r="D85" s="46" t="s">
        <v>62</v>
      </c>
      <c r="E85" s="7" t="n">
        <f aca="false" t="array" ref="E85:J85">'Gráficas SpeedUp'!D220:I220</f>
        <v>4459916</v>
      </c>
      <c r="F85" s="7" t="n">
        <v>2304244</v>
      </c>
      <c r="G85" s="7" t="n">
        <v>1246894</v>
      </c>
      <c r="H85" s="7" t="n">
        <v>693474</v>
      </c>
      <c r="I85" s="7" t="n">
        <v>531468</v>
      </c>
      <c r="J85" s="7" t="n">
        <v>486497</v>
      </c>
      <c r="K85" s="7"/>
      <c r="L85" s="7"/>
      <c r="M85" s="7"/>
      <c r="N85" s="7"/>
      <c r="O85" s="51"/>
    </row>
    <row r="86" customFormat="false" ht="14.25" hidden="false" customHeight="false" outlineLevel="0" collapsed="false">
      <c r="B86" s="50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51"/>
    </row>
    <row r="87" customFormat="false" ht="14.25" hidden="false" customHeight="false" outlineLevel="0" collapsed="false">
      <c r="B87" s="50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51"/>
    </row>
    <row r="88" customFormat="false" ht="14.25" hidden="false" customHeight="false" outlineLevel="0" collapsed="false">
      <c r="B88" s="50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51"/>
    </row>
    <row r="89" customFormat="false" ht="14.25" hidden="false" customHeight="false" outlineLevel="0" collapsed="false">
      <c r="B89" s="50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51"/>
    </row>
    <row r="90" customFormat="false" ht="14.25" hidden="false" customHeight="false" outlineLevel="0" collapsed="false">
      <c r="B90" s="50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51"/>
    </row>
    <row r="91" customFormat="false" ht="14.25" hidden="false" customHeight="false" outlineLevel="0" collapsed="false">
      <c r="B91" s="50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51"/>
    </row>
    <row r="92" customFormat="false" ht="14.25" hidden="false" customHeight="false" outlineLevel="0" collapsed="false">
      <c r="B92" s="50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51"/>
    </row>
    <row r="93" customFormat="false" ht="14.25" hidden="false" customHeight="false" outlineLevel="0" collapsed="false">
      <c r="B93" s="50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51"/>
    </row>
    <row r="94" customFormat="false" ht="14.25" hidden="false" customHeight="false" outlineLevel="0" collapsed="false">
      <c r="B94" s="5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51"/>
    </row>
    <row r="95" customFormat="false" ht="14.25" hidden="false" customHeight="false" outlineLevel="0" collapsed="false">
      <c r="B95" s="50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51"/>
    </row>
    <row r="96" customFormat="false" ht="14.25" hidden="false" customHeight="false" outlineLevel="0" collapsed="false">
      <c r="B96" s="50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51"/>
    </row>
    <row r="97" customFormat="false" ht="14.25" hidden="false" customHeight="false" outlineLevel="0" collapsed="false">
      <c r="B97" s="50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51"/>
    </row>
    <row r="98" customFormat="false" ht="14.25" hidden="false" customHeight="false" outlineLevel="0" collapsed="false">
      <c r="B98" s="50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51"/>
    </row>
    <row r="99" customFormat="false" ht="14.25" hidden="false" customHeight="false" outlineLevel="0" collapsed="false">
      <c r="B99" s="50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51"/>
    </row>
    <row r="100" customFormat="false" ht="14.25" hidden="false" customHeight="false" outlineLevel="0" collapsed="false">
      <c r="B100" s="50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51"/>
    </row>
    <row r="101" customFormat="false" ht="14.25" hidden="false" customHeight="false" outlineLevel="0" collapsed="false">
      <c r="B101" s="50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51"/>
    </row>
    <row r="102" customFormat="false" ht="14.25" hidden="false" customHeight="false" outlineLevel="0" collapsed="false">
      <c r="B102" s="50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51"/>
    </row>
    <row r="103" customFormat="false" ht="14.25" hidden="false" customHeight="false" outlineLevel="0" collapsed="false">
      <c r="B103" s="50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51"/>
    </row>
    <row r="104" customFormat="false" ht="14.25" hidden="false" customHeight="false" outlineLevel="0" collapsed="false">
      <c r="B104" s="50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51"/>
    </row>
    <row r="105" customFormat="false" ht="14.25" hidden="false" customHeight="false" outlineLevel="0" collapsed="false">
      <c r="B105" s="50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51"/>
    </row>
    <row r="106" customFormat="false" ht="14.25" hidden="false" customHeight="false" outlineLevel="0" collapsed="false">
      <c r="B106" s="5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51"/>
    </row>
    <row r="107" customFormat="false" ht="14.25" hidden="false" customHeight="false" outlineLevel="0" collapsed="false">
      <c r="B107" s="5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51"/>
    </row>
    <row r="108" customFormat="false" ht="14.25" hidden="false" customHeight="false" outlineLevel="0" collapsed="false">
      <c r="B108" s="5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51"/>
    </row>
    <row r="109" customFormat="false" ht="14.25" hidden="false" customHeight="false" outlineLevel="0" collapsed="false">
      <c r="B109" s="5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51"/>
    </row>
    <row r="110" customFormat="false" ht="14.25" hidden="false" customHeight="false" outlineLevel="0" collapsed="false">
      <c r="B110" s="5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51"/>
    </row>
    <row r="111" customFormat="false" ht="14.25" hidden="false" customHeight="false" outlineLevel="0" collapsed="false">
      <c r="B111" s="5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51"/>
    </row>
    <row r="112" customFormat="false" ht="14.25" hidden="false" customHeight="false" outlineLevel="0" collapsed="false">
      <c r="B112" s="5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51"/>
    </row>
    <row r="113" customFormat="false" ht="14.25" hidden="false" customHeight="false" outlineLevel="0" collapsed="false">
      <c r="B113" s="50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1"/>
    </row>
    <row r="114" customFormat="false" ht="14.25" hidden="false" customHeight="false" outlineLevel="0" collapsed="false">
      <c r="B114" s="53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5"/>
    </row>
    <row r="117" customFormat="false" ht="14.25" hidden="false" customHeight="false" outlineLevel="0" collapsed="false">
      <c r="B117" s="47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9"/>
    </row>
    <row r="118" customFormat="false" ht="33.85" hidden="false" customHeight="false" outlineLevel="0" collapsed="false">
      <c r="B118" s="50"/>
      <c r="C118" s="52"/>
      <c r="D118" s="56" t="s">
        <v>68</v>
      </c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1"/>
    </row>
    <row r="119" customFormat="false" ht="14.25" hidden="false" customHeight="false" outlineLevel="0" collapsed="false">
      <c r="B119" s="50"/>
      <c r="C119" s="57"/>
      <c r="D119" s="58" t="str">
        <f aca="false" t="array" ref="D119:J119">'Gráficas SpeedUp'!C212:I212</f>
        <v># Hilos</v>
      </c>
      <c r="E119" s="58" t="str">
        <v>1 hilo</v>
      </c>
      <c r="F119" s="58" t="str">
        <v>2 hilos</v>
      </c>
      <c r="G119" s="58" t="str">
        <v>4 hilos</v>
      </c>
      <c r="H119" s="58" t="str">
        <v>8 hilos</v>
      </c>
      <c r="I119" s="58" t="str">
        <v>12 hilos</v>
      </c>
      <c r="J119" s="58" t="str">
        <v>32 hilos</v>
      </c>
      <c r="K119" s="52"/>
      <c r="L119" s="52"/>
      <c r="M119" s="52"/>
      <c r="N119" s="52"/>
      <c r="O119" s="51"/>
    </row>
    <row r="120" customFormat="false" ht="14.25" hidden="false" customHeight="false" outlineLevel="0" collapsed="false">
      <c r="B120" s="50"/>
      <c r="C120" s="45" t="s">
        <v>64</v>
      </c>
      <c r="D120" s="59" t="s">
        <v>47</v>
      </c>
      <c r="E120" s="52" t="n">
        <f aca="false" t="array" ref="E120:J120">'Gráficas SpeedUp'!D19:I19</f>
        <v>31908429</v>
      </c>
      <c r="F120" s="52" t="n">
        <v>16460866</v>
      </c>
      <c r="G120" s="52" t="n">
        <v>9035650</v>
      </c>
      <c r="H120" s="52" t="n">
        <v>5324876</v>
      </c>
      <c r="I120" s="52" t="n">
        <v>5450766</v>
      </c>
      <c r="J120" s="52" t="n">
        <v>5683951</v>
      </c>
      <c r="K120" s="52"/>
      <c r="L120" s="52"/>
      <c r="M120" s="52"/>
      <c r="N120" s="52"/>
      <c r="O120" s="51"/>
    </row>
    <row r="121" customFormat="false" ht="14.25" hidden="false" customHeight="false" outlineLevel="0" collapsed="false">
      <c r="B121" s="50"/>
      <c r="C121" s="45"/>
      <c r="D121" s="59" t="s">
        <v>65</v>
      </c>
      <c r="E121" s="52" t="n">
        <f aca="false" t="array" ref="E121:J121">'Gráficas SpeedUp'!D87:I87</f>
        <v>10557450</v>
      </c>
      <c r="F121" s="52" t="n">
        <v>5538301</v>
      </c>
      <c r="G121" s="52" t="n">
        <v>2972951</v>
      </c>
      <c r="H121" s="52" t="n">
        <v>1687880</v>
      </c>
      <c r="I121" s="52" t="n">
        <v>1287740</v>
      </c>
      <c r="J121" s="52" t="n">
        <v>1427425</v>
      </c>
      <c r="K121" s="52"/>
      <c r="L121" s="52"/>
      <c r="M121" s="52"/>
      <c r="N121" s="52"/>
      <c r="O121" s="51"/>
    </row>
    <row r="122" customFormat="false" ht="14.25" hidden="false" customHeight="false" outlineLevel="0" collapsed="false">
      <c r="B122" s="50"/>
      <c r="C122" s="45"/>
      <c r="D122" s="59" t="s">
        <v>61</v>
      </c>
      <c r="E122" s="52" t="n">
        <f aca="false" t="array" ref="E122:J122">'Gráficas SpeedUp'!D155:I155</f>
        <v>31863280</v>
      </c>
      <c r="F122" s="52" t="n">
        <v>16504737</v>
      </c>
      <c r="G122" s="52" t="n">
        <v>9123372</v>
      </c>
      <c r="H122" s="52" t="n">
        <v>5393153</v>
      </c>
      <c r="I122" s="52" t="n">
        <v>5416419</v>
      </c>
      <c r="J122" s="52" t="n">
        <v>5515769</v>
      </c>
      <c r="K122" s="52"/>
      <c r="L122" s="52"/>
      <c r="M122" s="52"/>
      <c r="N122" s="52"/>
      <c r="O122" s="51"/>
    </row>
    <row r="123" customFormat="false" ht="14.25" hidden="false" customHeight="false" outlineLevel="0" collapsed="false">
      <c r="B123" s="50"/>
      <c r="C123" s="45"/>
      <c r="D123" s="59" t="s">
        <v>62</v>
      </c>
      <c r="E123" s="52" t="n">
        <f aca="false" t="array" ref="E123:J123">'Gráficas SpeedUp'!D223:I223</f>
        <v>10586002</v>
      </c>
      <c r="F123" s="52" t="n">
        <v>5554126</v>
      </c>
      <c r="G123" s="52" t="n">
        <v>2990293</v>
      </c>
      <c r="H123" s="52" t="n">
        <v>1682477</v>
      </c>
      <c r="I123" s="52" t="n">
        <v>1273488</v>
      </c>
      <c r="J123" s="52" t="n">
        <v>1353346</v>
      </c>
      <c r="K123" s="52"/>
      <c r="L123" s="52"/>
      <c r="M123" s="52"/>
      <c r="N123" s="52"/>
      <c r="O123" s="51"/>
    </row>
    <row r="124" customFormat="false" ht="14.25" hidden="false" customHeight="false" outlineLevel="0" collapsed="false">
      <c r="B124" s="50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1"/>
    </row>
    <row r="125" customFormat="false" ht="14.25" hidden="false" customHeight="false" outlineLevel="0" collapsed="false">
      <c r="B125" s="50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1"/>
    </row>
    <row r="126" customFormat="false" ht="14.25" hidden="false" customHeight="false" outlineLevel="0" collapsed="false">
      <c r="B126" s="50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1"/>
    </row>
    <row r="127" customFormat="false" ht="14.25" hidden="false" customHeight="false" outlineLevel="0" collapsed="false">
      <c r="B127" s="50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1"/>
    </row>
    <row r="128" customFormat="false" ht="14.25" hidden="false" customHeight="false" outlineLevel="0" collapsed="false">
      <c r="B128" s="50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1"/>
    </row>
    <row r="129" customFormat="false" ht="14.25" hidden="false" customHeight="false" outlineLevel="0" collapsed="false">
      <c r="B129" s="50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1"/>
    </row>
    <row r="130" customFormat="false" ht="14.25" hidden="false" customHeight="false" outlineLevel="0" collapsed="false">
      <c r="B130" s="50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1"/>
    </row>
    <row r="131" customFormat="false" ht="14.25" hidden="false" customHeight="false" outlineLevel="0" collapsed="false">
      <c r="B131" s="50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1"/>
    </row>
    <row r="132" customFormat="false" ht="14.25" hidden="false" customHeight="false" outlineLevel="0" collapsed="false">
      <c r="B132" s="50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1"/>
    </row>
    <row r="133" customFormat="false" ht="14.25" hidden="false" customHeight="false" outlineLevel="0" collapsed="false">
      <c r="B133" s="50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1"/>
    </row>
    <row r="134" customFormat="false" ht="14.25" hidden="false" customHeight="false" outlineLevel="0" collapsed="false">
      <c r="B134" s="50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1"/>
    </row>
    <row r="135" customFormat="false" ht="14.25" hidden="false" customHeight="false" outlineLevel="0" collapsed="false">
      <c r="B135" s="50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1"/>
    </row>
    <row r="136" customFormat="false" ht="14.25" hidden="false" customHeight="false" outlineLevel="0" collapsed="false">
      <c r="B136" s="50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1"/>
    </row>
    <row r="137" customFormat="false" ht="14.25" hidden="false" customHeight="false" outlineLevel="0" collapsed="false">
      <c r="B137" s="50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1"/>
    </row>
    <row r="138" customFormat="false" ht="14.25" hidden="false" customHeight="false" outlineLevel="0" collapsed="false">
      <c r="B138" s="50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1"/>
    </row>
    <row r="139" customFormat="false" ht="14.25" hidden="false" customHeight="false" outlineLevel="0" collapsed="false">
      <c r="B139" s="50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1"/>
    </row>
    <row r="140" customFormat="false" ht="14.25" hidden="false" customHeight="false" outlineLevel="0" collapsed="false">
      <c r="B140" s="50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1"/>
    </row>
    <row r="141" customFormat="false" ht="14.25" hidden="false" customHeight="false" outlineLevel="0" collapsed="false">
      <c r="B141" s="50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1"/>
    </row>
    <row r="142" customFormat="false" ht="14.25" hidden="false" customHeight="false" outlineLevel="0" collapsed="false">
      <c r="B142" s="50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1"/>
    </row>
    <row r="143" customFormat="false" ht="14.25" hidden="false" customHeight="false" outlineLevel="0" collapsed="false">
      <c r="B143" s="50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1"/>
    </row>
    <row r="144" customFormat="false" ht="14.25" hidden="false" customHeight="false" outlineLevel="0" collapsed="false">
      <c r="B144" s="50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1"/>
    </row>
    <row r="145" customFormat="false" ht="14.25" hidden="false" customHeight="false" outlineLevel="0" collapsed="false">
      <c r="B145" s="50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1"/>
    </row>
    <row r="146" customFormat="false" ht="14.25" hidden="false" customHeight="false" outlineLevel="0" collapsed="false">
      <c r="B146" s="50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1"/>
    </row>
    <row r="147" customFormat="false" ht="14.25" hidden="false" customHeight="false" outlineLevel="0" collapsed="false">
      <c r="B147" s="50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1"/>
    </row>
    <row r="148" customFormat="false" ht="14.25" hidden="false" customHeight="false" outlineLevel="0" collapsed="false">
      <c r="B148" s="50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1"/>
    </row>
    <row r="149" customFormat="false" ht="14.25" hidden="false" customHeight="false" outlineLevel="0" collapsed="false">
      <c r="B149" s="50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1"/>
    </row>
    <row r="150" customFormat="false" ht="14.25" hidden="false" customHeight="false" outlineLevel="0" collapsed="false">
      <c r="B150" s="50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1"/>
    </row>
    <row r="151" customFormat="false" ht="14.25" hidden="false" customHeight="false" outlineLevel="0" collapsed="false">
      <c r="B151" s="50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1"/>
    </row>
    <row r="152" customFormat="false" ht="14.25" hidden="false" customHeight="false" outlineLevel="0" collapsed="false">
      <c r="B152" s="53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5"/>
    </row>
  </sheetData>
  <mergeCells count="4">
    <mergeCell ref="C6:C9"/>
    <mergeCell ref="C44:C47"/>
    <mergeCell ref="C82:C85"/>
    <mergeCell ref="C120:C1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2025-11-03T08:10:09Z</dcterms:created>
  <dc:creator>Daniel Felipe Ramirez Vargas</dc:creator>
  <dc:description/>
  <dc:language>es-CO</dc:language>
  <cp:lastModifiedBy/>
  <dcterms:modified xsi:type="dcterms:W3CDTF">2026-04-27T22:34:19Z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