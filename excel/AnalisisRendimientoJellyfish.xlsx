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ción completa" sheetId="1" state="visible" r:id="rId3"/>
    <sheet name="Gráficas SpeedUp" sheetId="2" state="visible" r:id="rId4"/>
    <sheet name="Gráficas Tiemp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<sst xmlns="http://schemas.openxmlformats.org/spreadsheetml/2006/main" count="444" uniqueCount="69">
  <si>
    <t xml:space="preserve">FORK  F X C</t>
  </si>
  <si>
    <t xml:space="preserve">MATRIZ 600 X 600</t>
  </si>
  <si>
    <t xml:space="preserve">1 hilo</t>
  </si>
  <si>
    <t xml:space="preserve">2 hilos</t>
  </si>
  <si>
    <t xml:space="preserve">4 hilos</t>
  </si>
  <si>
    <t xml:space="preserve">8 hilos</t>
  </si>
  <si>
    <t xml:space="preserve">12 hilos</t>
  </si>
  <si>
    <t xml:space="preserve">32 hilos</t>
  </si>
  <si>
    <t xml:space="preserve">MATRIZ 1200 x 1200</t>
  </si>
  <si>
    <t xml:space="preserve">MATRIZ 1800  x 1800</t>
  </si>
  <si>
    <t xml:space="preserve">MATRIZ 2400 x 2400</t>
  </si>
  <si>
    <t xml:space="preserve">Repetición #1</t>
  </si>
  <si>
    <t xml:space="preserve">Repetición #2</t>
  </si>
  <si>
    <t xml:space="preserve">Repetición #3</t>
  </si>
  <si>
    <t xml:space="preserve">Repetición #4</t>
  </si>
  <si>
    <t xml:space="preserve">Repetición #5</t>
  </si>
  <si>
    <t xml:space="preserve">Repetición #6</t>
  </si>
  <si>
    <t xml:space="preserve">Repetición #7</t>
  </si>
  <si>
    <t xml:space="preserve">Repetición #8</t>
  </si>
  <si>
    <t xml:space="preserve">Repetición #9</t>
  </si>
  <si>
    <t xml:space="preserve">Repetición #10</t>
  </si>
  <si>
    <t xml:space="preserve">Repetición #11</t>
  </si>
  <si>
    <t xml:space="preserve">Repetición #12</t>
  </si>
  <si>
    <t xml:space="preserve">Repetición #13</t>
  </si>
  <si>
    <t xml:space="preserve">Repetición #14</t>
  </si>
  <si>
    <t xml:space="preserve">Repetición #15</t>
  </si>
  <si>
    <t xml:space="preserve">Repetición #16</t>
  </si>
  <si>
    <t xml:space="preserve">Repetición #17</t>
  </si>
  <si>
    <t xml:space="preserve">Repetición #18</t>
  </si>
  <si>
    <t xml:space="preserve">Repetición #19</t>
  </si>
  <si>
    <t xml:space="preserve">Repetición #20</t>
  </si>
  <si>
    <t xml:space="preserve">Repetición #21</t>
  </si>
  <si>
    <t xml:space="preserve">Repetición #22</t>
  </si>
  <si>
    <t xml:space="preserve">Repetición #23</t>
  </si>
  <si>
    <t xml:space="preserve">Repetición #24</t>
  </si>
  <si>
    <t xml:space="preserve">Repetición #25</t>
  </si>
  <si>
    <t xml:space="preserve">Repetición #26</t>
  </si>
  <si>
    <t xml:space="preserve">Repetición #27</t>
  </si>
  <si>
    <t xml:space="preserve">Repetición #28</t>
  </si>
  <si>
    <t xml:space="preserve">Repetición #29</t>
  </si>
  <si>
    <t xml:space="preserve">Repetición #30</t>
  </si>
  <si>
    <t xml:space="preserve">PROMEDIO</t>
  </si>
  <si>
    <t xml:space="preserve">FORK F X T</t>
  </si>
  <si>
    <t xml:space="preserve">MATRIZ 1800 x 1800</t>
  </si>
  <si>
    <t xml:space="preserve">POSIX F X C</t>
  </si>
  <si>
    <t xml:space="preserve">MATRIZ 4800 x 4800</t>
  </si>
  <si>
    <t xml:space="preserve">POSIX F X T</t>
  </si>
  <si>
    <t xml:space="preserve">Fork F x C</t>
  </si>
  <si>
    <t xml:space="preserve"># Hilos</t>
  </si>
  <si>
    <t xml:space="preserve">SpeedUp Matrices 600 x 600</t>
  </si>
  <si>
    <t xml:space="preserve">Speed Up Promedio</t>
  </si>
  <si>
    <t xml:space="preserve">Promedio Matrices 600 x 600</t>
  </si>
  <si>
    <t xml:space="preserve">SpeedUp Matrices 1200 x 1200</t>
  </si>
  <si>
    <t xml:space="preserve">Promedio Matrices 1200 x 1200</t>
  </si>
  <si>
    <t xml:space="preserve">SpeedUp Matrices 1800 x 1800</t>
  </si>
  <si>
    <t xml:space="preserve">Promedio Matrices 1800 x 1800</t>
  </si>
  <si>
    <t xml:space="preserve">SpeedUp Matrices 2400 x 2400</t>
  </si>
  <si>
    <t xml:space="preserve">Promedio Matrices 2400 x 2400</t>
  </si>
  <si>
    <t xml:space="preserve">Fork  F x T</t>
  </si>
  <si>
    <t xml:space="preserve">SpeedUp Matrices 4800 x 4800</t>
  </si>
  <si>
    <t xml:space="preserve">Promedio Matrices 4800 x 4800</t>
  </si>
  <si>
    <t xml:space="preserve">Posix F x C</t>
  </si>
  <si>
    <t xml:space="preserve">Posix F x T</t>
  </si>
  <si>
    <t xml:space="preserve">MATRICES 600 X 600</t>
  </si>
  <si>
    <t xml:space="preserve">Algoritmo</t>
  </si>
  <si>
    <t xml:space="preserve">Fork F x T</t>
  </si>
  <si>
    <t xml:space="preserve">MATRICES 1200 X 1200</t>
  </si>
  <si>
    <t xml:space="preserve">MATRICES 1800 X 1800</t>
  </si>
  <si>
    <t xml:space="preserve">MATRICES 4800 X 4800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</si>
</sst>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28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i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u val="single"/>
      <sz val="11"/>
      <color theme="1"/>
      <name val="Aptos Narrow"/>
      <family val="2"/>
      <charset val="1"/>
    </font>
    <font>
      <b val="true"/>
      <i val="true"/>
      <sz val="11"/>
      <color rgb="FFFF0000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404040"/>
      <name val="Aptos Narrow"/>
      <family val="2"/>
    </font>
    <font>
      <sz val="9"/>
      <color rgb="FF595959"/>
      <name val="Aptos Narrow"/>
      <family val="2"/>
    </font>
    <font>
      <b val="true"/>
      <sz val="11"/>
      <color theme="1"/>
      <name val="Aptos Narrow"/>
      <family val="2"/>
      <charset val="1"/>
    </font>
    <font>
      <sz val="16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8466"/>
        <bgColor rgb="FF196B24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>
        <color rgb="FFFF0000"/>
      </left>
      <right/>
      <top style="medium">
        <color rgb="FFFF0000"/>
      </top>
      <bottom/>
      <diagonal/>
    </border>
    <border diagonalUp="false" diagonalDown="false">
      <left/>
      <right/>
      <top style="medium">
        <color rgb="FFFF0000"/>
      </top>
      <bottom/>
      <diagonal/>
    </border>
    <border diagonalUp="false" diagonalDown="false">
      <left/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/>
      <top/>
      <bottom/>
      <diagonal/>
    </border>
    <border diagonalUp="false" diagonalDown="false">
      <left/>
      <right style="medium">
        <color rgb="FFFF0000"/>
      </right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/>
      <diagonal/>
    </border>
    <border diagonalUp="false" diagonalDown="false">
      <left/>
      <right/>
      <top style="medium">
        <color rgb="FFC00000"/>
      </top>
      <bottom/>
      <diagonal/>
    </border>
    <border diagonalUp="false" diagonalDown="false">
      <left/>
      <right style="medium">
        <color rgb="FFC00000"/>
      </right>
      <top style="medium">
        <color rgb="FFC00000"/>
      </top>
      <bottom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 style="medium">
        <color rgb="FFC00000"/>
      </left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 style="medium">
        <color rgb="FFC00000"/>
      </right>
      <top/>
      <bottom style="medium">
        <color rgb="FFC00000"/>
      </bottom>
      <diagonal/>
    </border>
    <border diagonalUp="false" diagonalDown="false">
      <left style="medium">
        <color rgb="FFFF0000"/>
      </left>
      <right/>
      <top/>
      <bottom style="medium">
        <color rgb="FFFF0000"/>
      </bottom>
      <diagonal/>
    </border>
    <border diagonalUp="false" diagonalDown="false">
      <left/>
      <right/>
      <top/>
      <bottom style="medium">
        <color rgb="FFFF0000"/>
      </bottom>
      <diagonal/>
    </border>
    <border diagonalUp="false" diagonalDown="false">
      <left/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>
        <color theme="1" tint="0.0499"/>
      </left>
      <right/>
      <top style="medium">
        <color theme="1" tint="0.0499"/>
      </top>
      <bottom/>
      <diagonal/>
    </border>
    <border diagonalUp="false" diagonalDown="false">
      <left/>
      <right/>
      <top style="medium">
        <color theme="1" tint="0.0499"/>
      </top>
      <bottom/>
      <diagonal/>
    </border>
    <border diagonalUp="false" diagonalDown="false">
      <left/>
      <right style="medium">
        <color theme="1" tint="0.0499"/>
      </right>
      <top style="medium">
        <color theme="1" tint="0.0499"/>
      </top>
      <bottom/>
      <diagonal/>
    </border>
    <border diagonalUp="false" diagonalDown="false">
      <left style="medium">
        <color theme="1" tint="0.0499"/>
      </left>
      <right/>
      <top/>
      <bottom/>
      <diagonal/>
    </border>
    <border diagonalUp="false" diagonalDown="false">
      <left/>
      <right style="medium">
        <color theme="1" tint="0.0499"/>
      </right>
      <top/>
      <bottom/>
      <diagonal/>
    </border>
    <border diagonalUp="false" diagonalDown="false">
      <left style="medium">
        <color theme="1" tint="0.0499"/>
      </left>
      <right/>
      <top/>
      <bottom style="medium">
        <color theme="1" tint="0.0499"/>
      </bottom>
      <diagonal/>
    </border>
    <border diagonalUp="false" diagonalDown="false">
      <left/>
      <right/>
      <top/>
      <bottom style="medium">
        <color theme="1" tint="0.0499"/>
      </bottom>
      <diagonal/>
    </border>
    <border diagonalUp="false" diagonalDown="false">
      <left/>
      <right style="medium">
        <color theme="1" tint="0.0499"/>
      </right>
      <top/>
      <bottom style="medium">
        <color theme="1" tint="0.0499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45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left" vertical="bottom" textRotation="45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800080"/>
      <rgbColor rgb="FF158466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4EA72E"/>
      <rgbColor rgb="FF0D0D0D"/>
      <rgbColor rgb="FF2F641C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1.87356815578465</c:v>
                </c:pt>
                <c:pt idx="2">
                  <c:v>3.23445803979731</c:v>
                </c:pt>
                <c:pt idx="3">
                  <c:v>5.05920448504181</c:v>
                </c:pt>
                <c:pt idx="4">
                  <c:v>5.07662463627546</c:v>
                </c:pt>
                <c:pt idx="5">
                  <c:v>4.4010931259197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752816"/>
        <c:axId val="39892933"/>
      </c:lineChart>
      <c:catAx>
        <c:axId val="78752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9892933"/>
        <c:crosses val="autoZero"/>
        <c:auto val="1"/>
        <c:lblAlgn val="ctr"/>
        <c:lblOffset val="100"/>
        <c:noMultiLvlLbl val="0"/>
      </c:catAx>
      <c:valAx>
        <c:axId val="398929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87528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2.02848223227729</c:v>
                </c:pt>
                <c:pt idx="2">
                  <c:v>3.96247746668195</c:v>
                </c:pt>
                <c:pt idx="3">
                  <c:v>5.63345332800024</c:v>
                </c:pt>
                <c:pt idx="4">
                  <c:v>6.56773257571178</c:v>
                </c:pt>
                <c:pt idx="5">
                  <c:v>5.36992123927234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261716"/>
        <c:axId val="36459216"/>
      </c:lineChart>
      <c:catAx>
        <c:axId val="382617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6459216"/>
        <c:crosses val="autoZero"/>
        <c:auto val="1"/>
        <c:lblAlgn val="ctr"/>
        <c:lblOffset val="100"/>
        <c:noMultiLvlLbl val="0"/>
      </c:catAx>
      <c:valAx>
        <c:axId val="364592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8261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1800 x 1800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1.73053771448075</c:v>
                </c:pt>
                <c:pt idx="2">
                  <c:v>3.43509354583485</c:v>
                </c:pt>
                <c:pt idx="3">
                  <c:v>6.38005030321251</c:v>
                </c:pt>
                <c:pt idx="4">
                  <c:v>6.25444139174391</c:v>
                </c:pt>
                <c:pt idx="5">
                  <c:v>3.69263735983906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56045"/>
        <c:axId val="94783927"/>
      </c:lineChart>
      <c:catAx>
        <c:axId val="42560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4783927"/>
        <c:crosses val="autoZero"/>
        <c:auto val="1"/>
        <c:lblAlgn val="ctr"/>
        <c:lblOffset val="100"/>
        <c:noMultiLvlLbl val="0"/>
      </c:catAx>
      <c:valAx>
        <c:axId val="947839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2560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5488605639243"/>
          <c:y val="0.031151354045522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308855291577"/>
          <c:w val="0.779374275782155"/>
          <c:h val="0.72121614886193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2.11426973446428</c:v>
                </c:pt>
                <c:pt idx="2">
                  <c:v>4.21431530416834</c:v>
                </c:pt>
                <c:pt idx="3">
                  <c:v>6.40502838262952</c:v>
                </c:pt>
                <c:pt idx="4">
                  <c:v>7.5465971261178</c:v>
                </c:pt>
                <c:pt idx="5">
                  <c:v>7.73539662500266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975467"/>
        <c:axId val="10611465"/>
      </c:lineChart>
      <c:catAx>
        <c:axId val="579754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0611465"/>
        <c:crosses val="autoZero"/>
        <c:auto val="1"/>
        <c:lblAlgn val="ctr"/>
        <c:lblOffset val="100"/>
        <c:noMultiLvlLbl val="0"/>
      </c:catAx>
      <c:valAx>
        <c:axId val="106114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7975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6494479191"/>
          <c:y val="0.13931250515209"/>
          <c:w val="0.779360667129951"/>
          <c:h val="0.721210122825818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SpeedUp'!$L$8:$R$8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1.93671445925174</c:v>
                </c:pt>
                <c:pt idx="3">
                  <c:v>3.71158608912061</c:v>
                </c:pt>
                <c:pt idx="4">
                  <c:v>5.86943412472102</c:v>
                </c:pt>
                <c:pt idx="5">
                  <c:v>6.36134893246224</c:v>
                </c:pt>
                <c:pt idx="6">
                  <c:v>5.29976208750844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840456"/>
        <c:axId val="52025225"/>
      </c:lineChart>
      <c:catAx>
        <c:axId val="97840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2025225"/>
        <c:crosses val="autoZero"/>
        <c:auto val="1"/>
        <c:lblAlgn val="ctr"/>
        <c:lblOffset val="100"/>
        <c:noMultiLvlLbl val="0"/>
      </c:catAx>
      <c:valAx>
        <c:axId val="520252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78404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1.60954448162552</c:v>
                </c:pt>
                <c:pt idx="2">
                  <c:v>2.48870554234839</c:v>
                </c:pt>
                <c:pt idx="3">
                  <c:v>3.19048415819101</c:v>
                </c:pt>
                <c:pt idx="4">
                  <c:v>3.45344113842173</c:v>
                </c:pt>
                <c:pt idx="5">
                  <c:v>3.13591457469428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602249"/>
        <c:axId val="76880476"/>
      </c:lineChart>
      <c:catAx>
        <c:axId val="366022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6880476"/>
        <c:crosses val="autoZero"/>
        <c:auto val="1"/>
        <c:lblAlgn val="ctr"/>
        <c:lblOffset val="100"/>
        <c:noMultiLvlLbl val="0"/>
      </c:catAx>
      <c:valAx>
        <c:axId val="768804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6602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1.93073520164046</c:v>
                </c:pt>
                <c:pt idx="2">
                  <c:v>3.35201538715674</c:v>
                </c:pt>
                <c:pt idx="3">
                  <c:v>4.63036858490987</c:v>
                </c:pt>
                <c:pt idx="4">
                  <c:v>5.17516972901985</c:v>
                </c:pt>
                <c:pt idx="5">
                  <c:v>4.98337666296883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497581"/>
        <c:axId val="8344655"/>
      </c:lineChart>
      <c:catAx>
        <c:axId val="234975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344655"/>
        <c:crosses val="autoZero"/>
        <c:auto val="1"/>
        <c:lblAlgn val="ctr"/>
        <c:lblOffset val="100"/>
        <c:noMultiLvlLbl val="0"/>
      </c:catAx>
      <c:valAx>
        <c:axId val="83446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34975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1.95731715583485</c:v>
                </c:pt>
                <c:pt idx="2">
                  <c:v>3.72815111870164</c:v>
                </c:pt>
                <c:pt idx="3">
                  <c:v>5.09259412684884</c:v>
                </c:pt>
                <c:pt idx="4">
                  <c:v>5.84101363194593</c:v>
                </c:pt>
                <c:pt idx="5">
                  <c:v>5.73154561929742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807171"/>
        <c:axId val="18715620"/>
      </c:lineChart>
      <c:catAx>
        <c:axId val="428071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8715620"/>
        <c:crosses val="autoZero"/>
        <c:auto val="1"/>
        <c:lblAlgn val="ctr"/>
        <c:lblOffset val="100"/>
        <c:noMultiLvlLbl val="0"/>
      </c:catAx>
      <c:valAx>
        <c:axId val="187156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28071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29728382756"/>
          <c:w val="0.779374275782155"/>
          <c:h val="0.72123930559016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1.99994416719286</c:v>
                </c:pt>
                <c:pt idx="2">
                  <c:v>3.82119960406284</c:v>
                </c:pt>
                <c:pt idx="3">
                  <c:v>5.37796300924115</c:v>
                </c:pt>
                <c:pt idx="4">
                  <c:v>6.21088544332607</c:v>
                </c:pt>
                <c:pt idx="5">
                  <c:v>6.59543664340287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637527"/>
        <c:axId val="72224143"/>
      </c:lineChart>
      <c:catAx>
        <c:axId val="266375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2224143"/>
        <c:crosses val="autoZero"/>
        <c:auto val="1"/>
        <c:lblAlgn val="ctr"/>
        <c:lblOffset val="100"/>
        <c:noMultiLvlLbl val="0"/>
      </c:catAx>
      <c:valAx>
        <c:axId val="7222414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66375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SpeedUp'!$L$76:$R$76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1.87438525157342</c:v>
                </c:pt>
                <c:pt idx="3">
                  <c:v>3.3475179130674</c:v>
                </c:pt>
                <c:pt idx="4">
                  <c:v>4.57285246979772</c:v>
                </c:pt>
                <c:pt idx="5">
                  <c:v>5.1701274856784</c:v>
                </c:pt>
                <c:pt idx="6">
                  <c:v>5.11156837509085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321434"/>
        <c:axId val="6230520"/>
      </c:lineChart>
      <c:catAx>
        <c:axId val="653214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230520"/>
        <c:crosses val="autoZero"/>
        <c:auto val="1"/>
        <c:lblAlgn val="ctr"/>
        <c:lblOffset val="100"/>
        <c:noMultiLvlLbl val="0"/>
      </c:catAx>
      <c:valAx>
        <c:axId val="62305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53214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1.70811070479701</c:v>
                </c:pt>
                <c:pt idx="2">
                  <c:v>2.77070727149843</c:v>
                </c:pt>
                <c:pt idx="3">
                  <c:v>3.84594499139111</c:v>
                </c:pt>
                <c:pt idx="4">
                  <c:v>4.15429368495094</c:v>
                </c:pt>
                <c:pt idx="5">
                  <c:v>4.39456194115496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481822"/>
        <c:axId val="39364006"/>
      </c:lineChart>
      <c:catAx>
        <c:axId val="684818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9364006"/>
        <c:crosses val="autoZero"/>
        <c:auto val="1"/>
        <c:lblAlgn val="ctr"/>
        <c:lblOffset val="100"/>
        <c:noMultiLvlLbl val="0"/>
      </c:catAx>
      <c:valAx>
        <c:axId val="393640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84818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947496428985"/>
          <c:y val="0.142075143070416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1.99838540939165</c:v>
                </c:pt>
                <c:pt idx="2">
                  <c:v>3.91411275868962</c:v>
                </c:pt>
                <c:pt idx="3">
                  <c:v>6.66605429563068</c:v>
                </c:pt>
                <c:pt idx="4">
                  <c:v>7.09715419581482</c:v>
                </c:pt>
                <c:pt idx="5">
                  <c:v>7.65275921996035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3169041"/>
        <c:axId val="29496239"/>
      </c:lineChart>
      <c:catAx>
        <c:axId val="93169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9496239"/>
        <c:crosses val="autoZero"/>
        <c:auto val="1"/>
        <c:lblAlgn val="ctr"/>
        <c:lblOffset val="100"/>
        <c:noMultiLvlLbl val="0"/>
      </c:catAx>
      <c:valAx>
        <c:axId val="294962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31690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1.96507897979187</c:v>
                </c:pt>
                <c:pt idx="2">
                  <c:v>3.91562458865342</c:v>
                </c:pt>
                <c:pt idx="3">
                  <c:v>5.64748746905394</c:v>
                </c:pt>
                <c:pt idx="4">
                  <c:v>6.48780257255839</c:v>
                </c:pt>
                <c:pt idx="5">
                  <c:v>6.66785661649543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802771"/>
        <c:axId val="15664605"/>
      </c:lineChart>
      <c:catAx>
        <c:axId val="458027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5664605"/>
        <c:crosses val="autoZero"/>
        <c:auto val="1"/>
        <c:lblAlgn val="ctr"/>
        <c:lblOffset val="100"/>
        <c:noMultiLvlLbl val="0"/>
      </c:catAx>
      <c:valAx>
        <c:axId val="156646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58027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308855291577"/>
          <c:w val="0.779374275782155"/>
          <c:h val="0.72121614886193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2.00747187886416</c:v>
                </c:pt>
                <c:pt idx="2">
                  <c:v>4.08325517502792</c:v>
                </c:pt>
                <c:pt idx="3">
                  <c:v>5.88543006091263</c:v>
                </c:pt>
                <c:pt idx="4">
                  <c:v>6.46890797854567</c:v>
                </c:pt>
                <c:pt idx="5">
                  <c:v>6.66314426880815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891129"/>
        <c:axId val="53755883"/>
      </c:lineChart>
      <c:catAx>
        <c:axId val="738911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3755883"/>
        <c:crosses val="autoZero"/>
        <c:auto val="1"/>
        <c:lblAlgn val="ctr"/>
        <c:lblOffset val="100"/>
        <c:noMultiLvlLbl val="0"/>
      </c:catAx>
      <c:valAx>
        <c:axId val="537558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38911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875188202139"/>
          <c:y val="0.136498516320475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SpeedUp'!$L$144:$R$144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1.91976174321117</c:v>
                </c:pt>
                <c:pt idx="3">
                  <c:v>3.67092494846735</c:v>
                </c:pt>
                <c:pt idx="4">
                  <c:v>5.51122920424709</c:v>
                </c:pt>
                <c:pt idx="5">
                  <c:v>6.05203960796745</c:v>
                </c:pt>
                <c:pt idx="6">
                  <c:v>6.34458051160472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05520"/>
        <c:axId val="84027135"/>
      </c:lineChart>
      <c:catAx>
        <c:axId val="9405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4027135"/>
        <c:crosses val="autoZero"/>
        <c:auto val="1"/>
        <c:lblAlgn val="ctr"/>
        <c:lblOffset val="100"/>
        <c:noMultiLvlLbl val="0"/>
      </c:catAx>
      <c:valAx>
        <c:axId val="8402713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4055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1.55724740033607</c:v>
                </c:pt>
                <c:pt idx="2">
                  <c:v>2.52182357754838</c:v>
                </c:pt>
                <c:pt idx="3">
                  <c:v>3.20680273814598</c:v>
                </c:pt>
                <c:pt idx="4">
                  <c:v>3.4833785016819</c:v>
                </c:pt>
                <c:pt idx="5">
                  <c:v>3.78704786722139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027250"/>
        <c:axId val="33703561"/>
      </c:lineChart>
      <c:catAx>
        <c:axId val="450272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3703561"/>
        <c:crosses val="autoZero"/>
        <c:auto val="1"/>
        <c:lblAlgn val="ctr"/>
        <c:lblOffset val="100"/>
        <c:noMultiLvlLbl val="0"/>
      </c:catAx>
      <c:valAx>
        <c:axId val="337035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50272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1.8219332062181</c:v>
                </c:pt>
                <c:pt idx="2">
                  <c:v>3.4696900023785</c:v>
                </c:pt>
                <c:pt idx="3">
                  <c:v>4.70573307992763</c:v>
                </c:pt>
                <c:pt idx="4">
                  <c:v>5.13438649389046</c:v>
                </c:pt>
                <c:pt idx="5">
                  <c:v>5.36137969476918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052747"/>
        <c:axId val="93474837"/>
      </c:lineChart>
      <c:catAx>
        <c:axId val="180527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3474837"/>
        <c:crosses val="autoZero"/>
        <c:auto val="1"/>
        <c:lblAlgn val="ctr"/>
        <c:lblOffset val="100"/>
        <c:noMultiLvlLbl val="0"/>
      </c:catAx>
      <c:valAx>
        <c:axId val="934748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8052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1.88735425443264</c:v>
                </c:pt>
                <c:pt idx="2">
                  <c:v>3.59664168053523</c:v>
                </c:pt>
                <c:pt idx="3">
                  <c:v>4.98226163889514</c:v>
                </c:pt>
                <c:pt idx="4">
                  <c:v>5.77876919339938</c:v>
                </c:pt>
                <c:pt idx="5">
                  <c:v>5.84203338452589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10373"/>
        <c:axId val="82390087"/>
      </c:lineChart>
      <c:catAx>
        <c:axId val="15103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2390087"/>
        <c:crosses val="autoZero"/>
        <c:auto val="1"/>
        <c:lblAlgn val="ctr"/>
        <c:lblOffset val="100"/>
        <c:noMultiLvlLbl val="0"/>
      </c:catAx>
      <c:valAx>
        <c:axId val="823900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5103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99382000772499"/>
          <c:y val="0.038707533848326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29728382756"/>
          <c:w val="0.779374275782155"/>
          <c:h val="0.72123930559016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1.89095291421779</c:v>
                </c:pt>
                <c:pt idx="2">
                  <c:v>3.68678764620422</c:v>
                </c:pt>
                <c:pt idx="3">
                  <c:v>5.49669562050316</c:v>
                </c:pt>
                <c:pt idx="4">
                  <c:v>6.16880635950156</c:v>
                </c:pt>
                <c:pt idx="5">
                  <c:v>6.18761052431264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205805"/>
        <c:axId val="94070085"/>
      </c:lineChart>
      <c:catAx>
        <c:axId val="772058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4070085"/>
        <c:crosses val="autoZero"/>
        <c:auto val="1"/>
        <c:lblAlgn val="ctr"/>
        <c:lblOffset val="100"/>
        <c:noMultiLvlLbl val="0"/>
      </c:catAx>
      <c:valAx>
        <c:axId val="940700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72058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SpeedUp'!$L$212:$R$212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1.78937194380115</c:v>
                </c:pt>
                <c:pt idx="3">
                  <c:v>3.31873572666658</c:v>
                </c:pt>
                <c:pt idx="4">
                  <c:v>4.59787326936798</c:v>
                </c:pt>
                <c:pt idx="5">
                  <c:v>5.14133513711832</c:v>
                </c:pt>
                <c:pt idx="6">
                  <c:v>5.29451786770728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113698"/>
        <c:axId val="91699125"/>
      </c:lineChart>
      <c:catAx>
        <c:axId val="351136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1699125"/>
        <c:crosses val="autoZero"/>
        <c:auto val="1"/>
        <c:lblAlgn val="ctr"/>
        <c:lblOffset val="100"/>
        <c:noMultiLvlLbl val="0"/>
      </c:catAx>
      <c:valAx>
        <c:axId val="916991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51136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600 x 600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4"/>
          <c:h val="0.7211935730680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104680</c:v>
                </c:pt>
                <c:pt idx="1">
                  <c:v>55872</c:v>
                </c:pt>
                <c:pt idx="2">
                  <c:v>32364</c:v>
                </c:pt>
                <c:pt idx="3">
                  <c:v>20691</c:v>
                </c:pt>
                <c:pt idx="4">
                  <c:v>20620</c:v>
                </c:pt>
                <c:pt idx="5">
                  <c:v>23785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266951</c:v>
                </c:pt>
                <c:pt idx="1">
                  <c:v>165855</c:v>
                </c:pt>
                <c:pt idx="2">
                  <c:v>107265</c:v>
                </c:pt>
                <c:pt idx="3">
                  <c:v>83671</c:v>
                </c:pt>
                <c:pt idx="4">
                  <c:v>77300</c:v>
                </c:pt>
                <c:pt idx="5">
                  <c:v>85127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348458</c:v>
                </c:pt>
                <c:pt idx="1">
                  <c:v>204002</c:v>
                </c:pt>
                <c:pt idx="2">
                  <c:v>125765</c:v>
                </c:pt>
                <c:pt idx="3">
                  <c:v>90604</c:v>
                </c:pt>
                <c:pt idx="4">
                  <c:v>83879</c:v>
                </c:pt>
                <c:pt idx="5">
                  <c:v>79293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255781</c:v>
                </c:pt>
                <c:pt idx="1">
                  <c:v>164252</c:v>
                </c:pt>
                <c:pt idx="2">
                  <c:v>101427</c:v>
                </c:pt>
                <c:pt idx="3">
                  <c:v>79762</c:v>
                </c:pt>
                <c:pt idx="4">
                  <c:v>73429</c:v>
                </c:pt>
                <c:pt idx="5">
                  <c:v>67541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548201"/>
        <c:axId val="19108677"/>
      </c:lineChart>
      <c:catAx>
        <c:axId val="24548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9108677"/>
        <c:crosses val="autoZero"/>
        <c:auto val="1"/>
        <c:lblAlgn val="ctr"/>
        <c:lblOffset val="100"/>
        <c:noMultiLvlLbl val="0"/>
      </c:catAx>
      <c:valAx>
        <c:axId val="191086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4548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4"/>
          <c:h val="0.7211935730680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1521100</c:v>
                </c:pt>
                <c:pt idx="1">
                  <c:v>749871</c:v>
                </c:pt>
                <c:pt idx="2">
                  <c:v>383876</c:v>
                </c:pt>
                <c:pt idx="3">
                  <c:v>270012</c:v>
                </c:pt>
                <c:pt idx="4">
                  <c:v>231602</c:v>
                </c:pt>
                <c:pt idx="5">
                  <c:v>283263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1765416</c:v>
                </c:pt>
                <c:pt idx="1">
                  <c:v>914375</c:v>
                </c:pt>
                <c:pt idx="2">
                  <c:v>526673</c:v>
                </c:pt>
                <c:pt idx="3">
                  <c:v>381269</c:v>
                </c:pt>
                <c:pt idx="4">
                  <c:v>341132</c:v>
                </c:pt>
                <c:pt idx="5">
                  <c:v>354261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070c0"/>
            </a:solidFill>
            <a:ln cap="rnd" w="28440">
              <a:solidFill>
                <a:srgbClr val="0070c0"/>
              </a:solidFill>
              <a:round/>
            </a:ln>
          </c:spPr>
          <c:marker>
            <c:symbol val="circle"/>
            <c:size val="5"/>
            <c:spPr>
              <a:solidFill>
                <a:srgbClr val="0070c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3505178</c:v>
                </c:pt>
                <c:pt idx="1">
                  <c:v>1754005</c:v>
                </c:pt>
                <c:pt idx="2">
                  <c:v>895523</c:v>
                </c:pt>
                <c:pt idx="3">
                  <c:v>525825</c:v>
                </c:pt>
                <c:pt idx="4">
                  <c:v>493885</c:v>
                </c:pt>
                <c:pt idx="5">
                  <c:v>458028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1750528</c:v>
                </c:pt>
                <c:pt idx="1">
                  <c:v>960808</c:v>
                </c:pt>
                <c:pt idx="2">
                  <c:v>504520</c:v>
                </c:pt>
                <c:pt idx="3">
                  <c:v>371999</c:v>
                </c:pt>
                <c:pt idx="4">
                  <c:v>340942</c:v>
                </c:pt>
                <c:pt idx="5">
                  <c:v>326507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401920"/>
        <c:axId val="14205583"/>
      </c:lineChart>
      <c:catAx>
        <c:axId val="19401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4205583"/>
        <c:crosses val="autoZero"/>
        <c:auto val="1"/>
        <c:lblAlgn val="ctr"/>
        <c:lblOffset val="100"/>
        <c:noMultiLvlLbl val="0"/>
      </c:catAx>
      <c:valAx>
        <c:axId val="142055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94019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6"/>
          <c:w val="0.749916181535554"/>
          <c:h val="0.72121490322087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4350333</c:v>
                </c:pt>
                <c:pt idx="1">
                  <c:v>2513862</c:v>
                </c:pt>
                <c:pt idx="2">
                  <c:v>1266438</c:v>
                </c:pt>
                <c:pt idx="3">
                  <c:v>681865</c:v>
                </c:pt>
                <c:pt idx="4">
                  <c:v>695559</c:v>
                </c:pt>
                <c:pt idx="5">
                  <c:v>1178110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6208244</c:v>
                </c:pt>
                <c:pt idx="1">
                  <c:v>3171813</c:v>
                </c:pt>
                <c:pt idx="2">
                  <c:v>1665234</c:v>
                </c:pt>
                <c:pt idx="3">
                  <c:v>1219073</c:v>
                </c:pt>
                <c:pt idx="4">
                  <c:v>1062871</c:v>
                </c:pt>
                <c:pt idx="5">
                  <c:v>1083171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14070331</c:v>
                </c:pt>
                <c:pt idx="1">
                  <c:v>7160186</c:v>
                </c:pt>
                <c:pt idx="2">
                  <c:v>3593381</c:v>
                </c:pt>
                <c:pt idx="3">
                  <c:v>2491432</c:v>
                </c:pt>
                <c:pt idx="4">
                  <c:v>2168736</c:v>
                </c:pt>
                <c:pt idx="5">
                  <c:v>2110173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5804843</c:v>
                </c:pt>
                <c:pt idx="1">
                  <c:v>3075651</c:v>
                </c:pt>
                <c:pt idx="2">
                  <c:v>1613962</c:v>
                </c:pt>
                <c:pt idx="3">
                  <c:v>1165102</c:v>
                </c:pt>
                <c:pt idx="4">
                  <c:v>1004512</c:v>
                </c:pt>
                <c:pt idx="5">
                  <c:v>993634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665254"/>
        <c:axId val="46095141"/>
      </c:lineChart>
      <c:catAx>
        <c:axId val="596652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6095141"/>
        <c:crosses val="autoZero"/>
        <c:auto val="1"/>
        <c:lblAlgn val="ctr"/>
        <c:lblOffset val="100"/>
        <c:noMultiLvlLbl val="0"/>
      </c:catAx>
      <c:valAx>
        <c:axId val="460951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96652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4800 x 4800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6"/>
          <c:w val="0.749916181535554"/>
          <c:h val="0.72121490322087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112677887</c:v>
                </c:pt>
                <c:pt idx="1">
                  <c:v>53293998</c:v>
                </c:pt>
                <c:pt idx="2">
                  <c:v>26736938</c:v>
                </c:pt>
                <c:pt idx="3">
                  <c:v>17592098</c:v>
                </c:pt>
                <c:pt idx="4">
                  <c:v>14930953</c:v>
                </c:pt>
                <c:pt idx="5">
                  <c:v>14566530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16441487</c:v>
                </c:pt>
                <c:pt idx="1">
                  <c:v>8220973</c:v>
                </c:pt>
                <c:pt idx="2">
                  <c:v>4302703</c:v>
                </c:pt>
                <c:pt idx="3">
                  <c:v>3057196</c:v>
                </c:pt>
                <c:pt idx="4">
                  <c:v>2647205</c:v>
                </c:pt>
                <c:pt idx="5">
                  <c:v>2492858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112980694</c:v>
                </c:pt>
                <c:pt idx="1">
                  <c:v>56280088</c:v>
                </c:pt>
                <c:pt idx="2">
                  <c:v>27669271</c:v>
                </c:pt>
                <c:pt idx="3">
                  <c:v>19196676</c:v>
                </c:pt>
                <c:pt idx="4">
                  <c:v>17465188</c:v>
                </c:pt>
                <c:pt idx="5">
                  <c:v>16956063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15997473</c:v>
                </c:pt>
                <c:pt idx="1">
                  <c:v>8460006</c:v>
                </c:pt>
                <c:pt idx="2">
                  <c:v>4339136</c:v>
                </c:pt>
                <c:pt idx="3">
                  <c:v>2910380</c:v>
                </c:pt>
                <c:pt idx="4">
                  <c:v>2593285</c:v>
                </c:pt>
                <c:pt idx="5">
                  <c:v>2585404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717114"/>
        <c:axId val="43941060"/>
      </c:lineChart>
      <c:catAx>
        <c:axId val="497171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3941060"/>
        <c:crosses val="autoZero"/>
        <c:auto val="1"/>
        <c:lblAlgn val="ctr"/>
        <c:lblOffset val="100"/>
        <c:noMultiLvlLbl val="0"/>
      </c:catAx>
      <c:valAx>
        <c:axId val="439410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97171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12240</xdr:colOff>
      <xdr:row>20</xdr:row>
      <xdr:rowOff>39960</xdr:rowOff>
    </xdr:from>
    <xdr:to>
      <xdr:col>11</xdr:col>
      <xdr:colOff>758160</xdr:colOff>
      <xdr:row>44</xdr:row>
      <xdr:rowOff>36360</xdr:rowOff>
    </xdr:to>
    <xdr:graphicFrame>
      <xdr:nvGraphicFramePr>
        <xdr:cNvPr id="0" name="Gráfico 1"/>
        <xdr:cNvGraphicFramePr/>
      </xdr:nvGraphicFramePr>
      <xdr:xfrm>
        <a:off x="1707840" y="390852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36720</xdr:rowOff>
    </xdr:from>
    <xdr:to>
      <xdr:col>23</xdr:col>
      <xdr:colOff>847440</xdr:colOff>
      <xdr:row>44</xdr:row>
      <xdr:rowOff>33480</xdr:rowOff>
    </xdr:to>
    <xdr:graphicFrame>
      <xdr:nvGraphicFramePr>
        <xdr:cNvPr id="1" name="Gráfico 4"/>
        <xdr:cNvGraphicFramePr/>
      </xdr:nvGraphicFramePr>
      <xdr:xfrm>
        <a:off x="12397680" y="390528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10440</xdr:colOff>
      <xdr:row>45</xdr:row>
      <xdr:rowOff>37080</xdr:rowOff>
    </xdr:from>
    <xdr:to>
      <xdr:col>11</xdr:col>
      <xdr:colOff>756000</xdr:colOff>
      <xdr:row>69</xdr:row>
      <xdr:rowOff>42120</xdr:rowOff>
    </xdr:to>
    <xdr:graphicFrame>
      <xdr:nvGraphicFramePr>
        <xdr:cNvPr id="2" name="Gráfico 5"/>
        <xdr:cNvGraphicFramePr/>
      </xdr:nvGraphicFramePr>
      <xdr:xfrm>
        <a:off x="1706040" y="842976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760320</xdr:colOff>
      <xdr:row>45</xdr:row>
      <xdr:rowOff>43560</xdr:rowOff>
    </xdr:from>
    <xdr:to>
      <xdr:col>23</xdr:col>
      <xdr:colOff>755280</xdr:colOff>
      <xdr:row>69</xdr:row>
      <xdr:rowOff>33480</xdr:rowOff>
    </xdr:to>
    <xdr:graphicFrame>
      <xdr:nvGraphicFramePr>
        <xdr:cNvPr id="3" name="Gráfico 6"/>
        <xdr:cNvGraphicFramePr/>
      </xdr:nvGraphicFramePr>
      <xdr:xfrm>
        <a:off x="12310200" y="8436240"/>
        <a:ext cx="9320040" cy="43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0</xdr:colOff>
      <xdr:row>33</xdr:row>
      <xdr:rowOff>28080</xdr:rowOff>
    </xdr:from>
    <xdr:to>
      <xdr:col>35</xdr:col>
      <xdr:colOff>847080</xdr:colOff>
      <xdr:row>57</xdr:row>
      <xdr:rowOff>51480</xdr:rowOff>
    </xdr:to>
    <xdr:graphicFrame>
      <xdr:nvGraphicFramePr>
        <xdr:cNvPr id="4" name="Gráfico 7"/>
        <xdr:cNvGraphicFramePr/>
      </xdr:nvGraphicFramePr>
      <xdr:xfrm>
        <a:off x="22570560" y="6249240"/>
        <a:ext cx="9324360" cy="436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12240</xdr:colOff>
      <xdr:row>88</xdr:row>
      <xdr:rowOff>77040</xdr:rowOff>
    </xdr:from>
    <xdr:to>
      <xdr:col>11</xdr:col>
      <xdr:colOff>758160</xdr:colOff>
      <xdr:row>112</xdr:row>
      <xdr:rowOff>73440</xdr:rowOff>
    </xdr:to>
    <xdr:graphicFrame>
      <xdr:nvGraphicFramePr>
        <xdr:cNvPr id="5" name="Gráfico 8"/>
        <xdr:cNvGraphicFramePr/>
      </xdr:nvGraphicFramePr>
      <xdr:xfrm>
        <a:off x="1707840" y="1668168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88</xdr:row>
      <xdr:rowOff>73800</xdr:rowOff>
    </xdr:from>
    <xdr:to>
      <xdr:col>23</xdr:col>
      <xdr:colOff>847440</xdr:colOff>
      <xdr:row>112</xdr:row>
      <xdr:rowOff>70560</xdr:rowOff>
    </xdr:to>
    <xdr:graphicFrame>
      <xdr:nvGraphicFramePr>
        <xdr:cNvPr id="6" name="Gráfico 9"/>
        <xdr:cNvGraphicFramePr/>
      </xdr:nvGraphicFramePr>
      <xdr:xfrm>
        <a:off x="12397680" y="1667844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10440</xdr:colOff>
      <xdr:row>113</xdr:row>
      <xdr:rowOff>73440</xdr:rowOff>
    </xdr:from>
    <xdr:to>
      <xdr:col>11</xdr:col>
      <xdr:colOff>756000</xdr:colOff>
      <xdr:row>137</xdr:row>
      <xdr:rowOff>78480</xdr:rowOff>
    </xdr:to>
    <xdr:graphicFrame>
      <xdr:nvGraphicFramePr>
        <xdr:cNvPr id="7" name="Gráfico 10"/>
        <xdr:cNvGraphicFramePr/>
      </xdr:nvGraphicFramePr>
      <xdr:xfrm>
        <a:off x="1706040" y="2120256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</xdr:col>
      <xdr:colOff>760320</xdr:colOff>
      <xdr:row>113</xdr:row>
      <xdr:rowOff>79920</xdr:rowOff>
    </xdr:from>
    <xdr:to>
      <xdr:col>23</xdr:col>
      <xdr:colOff>755280</xdr:colOff>
      <xdr:row>137</xdr:row>
      <xdr:rowOff>70200</xdr:rowOff>
    </xdr:to>
    <xdr:graphicFrame>
      <xdr:nvGraphicFramePr>
        <xdr:cNvPr id="8" name="Gráfico 11"/>
        <xdr:cNvGraphicFramePr/>
      </xdr:nvGraphicFramePr>
      <xdr:xfrm>
        <a:off x="12310200" y="21209040"/>
        <a:ext cx="9320040" cy="43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24</xdr:col>
      <xdr:colOff>743760</xdr:colOff>
      <xdr:row>101</xdr:row>
      <xdr:rowOff>37800</xdr:rowOff>
    </xdr:from>
    <xdr:to>
      <xdr:col>35</xdr:col>
      <xdr:colOff>743400</xdr:colOff>
      <xdr:row>125</xdr:row>
      <xdr:rowOff>61560</xdr:rowOff>
    </xdr:to>
    <xdr:graphicFrame>
      <xdr:nvGraphicFramePr>
        <xdr:cNvPr id="9" name="Gráfico 12"/>
        <xdr:cNvGraphicFramePr/>
      </xdr:nvGraphicFramePr>
      <xdr:xfrm>
        <a:off x="22466520" y="1899504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</xdr:col>
      <xdr:colOff>12240</xdr:colOff>
      <xdr:row>156</xdr:row>
      <xdr:rowOff>113760</xdr:rowOff>
    </xdr:from>
    <xdr:to>
      <xdr:col>11</xdr:col>
      <xdr:colOff>758160</xdr:colOff>
      <xdr:row>180</xdr:row>
      <xdr:rowOff>110160</xdr:rowOff>
    </xdr:to>
    <xdr:graphicFrame>
      <xdr:nvGraphicFramePr>
        <xdr:cNvPr id="10" name="Gráfico 13"/>
        <xdr:cNvGraphicFramePr/>
      </xdr:nvGraphicFramePr>
      <xdr:xfrm>
        <a:off x="1707840" y="2945448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13</xdr:col>
      <xdr:colOff>0</xdr:colOff>
      <xdr:row>156</xdr:row>
      <xdr:rowOff>110520</xdr:rowOff>
    </xdr:from>
    <xdr:to>
      <xdr:col>23</xdr:col>
      <xdr:colOff>847440</xdr:colOff>
      <xdr:row>180</xdr:row>
      <xdr:rowOff>107280</xdr:rowOff>
    </xdr:to>
    <xdr:graphicFrame>
      <xdr:nvGraphicFramePr>
        <xdr:cNvPr id="11" name="Gráfico 14"/>
        <xdr:cNvGraphicFramePr/>
      </xdr:nvGraphicFramePr>
      <xdr:xfrm>
        <a:off x="12397680" y="2945124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</xdr:col>
      <xdr:colOff>10440</xdr:colOff>
      <xdr:row>181</xdr:row>
      <xdr:rowOff>110520</xdr:rowOff>
    </xdr:from>
    <xdr:to>
      <xdr:col>11</xdr:col>
      <xdr:colOff>756000</xdr:colOff>
      <xdr:row>205</xdr:row>
      <xdr:rowOff>115560</xdr:rowOff>
    </xdr:to>
    <xdr:graphicFrame>
      <xdr:nvGraphicFramePr>
        <xdr:cNvPr id="12" name="Gráfico 15"/>
        <xdr:cNvGraphicFramePr/>
      </xdr:nvGraphicFramePr>
      <xdr:xfrm>
        <a:off x="1706040" y="3397572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12</xdr:col>
      <xdr:colOff>760320</xdr:colOff>
      <xdr:row>181</xdr:row>
      <xdr:rowOff>117000</xdr:rowOff>
    </xdr:from>
    <xdr:to>
      <xdr:col>23</xdr:col>
      <xdr:colOff>755280</xdr:colOff>
      <xdr:row>205</xdr:row>
      <xdr:rowOff>106920</xdr:rowOff>
    </xdr:to>
    <xdr:graphicFrame>
      <xdr:nvGraphicFramePr>
        <xdr:cNvPr id="13" name="Gráfico 16"/>
        <xdr:cNvGraphicFramePr/>
      </xdr:nvGraphicFramePr>
      <xdr:xfrm>
        <a:off x="12310200" y="33982200"/>
        <a:ext cx="9320040" cy="43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24</xdr:col>
      <xdr:colOff>743760</xdr:colOff>
      <xdr:row>169</xdr:row>
      <xdr:rowOff>74880</xdr:rowOff>
    </xdr:from>
    <xdr:to>
      <xdr:col>35</xdr:col>
      <xdr:colOff>743400</xdr:colOff>
      <xdr:row>193</xdr:row>
      <xdr:rowOff>98640</xdr:rowOff>
    </xdr:to>
    <xdr:graphicFrame>
      <xdr:nvGraphicFramePr>
        <xdr:cNvPr id="14" name="Gráfico 17"/>
        <xdr:cNvGraphicFramePr/>
      </xdr:nvGraphicFramePr>
      <xdr:xfrm>
        <a:off x="22466520" y="3176820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</xdr:col>
      <xdr:colOff>12240</xdr:colOff>
      <xdr:row>224</xdr:row>
      <xdr:rowOff>150840</xdr:rowOff>
    </xdr:from>
    <xdr:to>
      <xdr:col>11</xdr:col>
      <xdr:colOff>758160</xdr:colOff>
      <xdr:row>248</xdr:row>
      <xdr:rowOff>147240</xdr:rowOff>
    </xdr:to>
    <xdr:graphicFrame>
      <xdr:nvGraphicFramePr>
        <xdr:cNvPr id="15" name="Gráfico 18"/>
        <xdr:cNvGraphicFramePr/>
      </xdr:nvGraphicFramePr>
      <xdr:xfrm>
        <a:off x="1707840" y="4224672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13</xdr:col>
      <xdr:colOff>0</xdr:colOff>
      <xdr:row>224</xdr:row>
      <xdr:rowOff>147600</xdr:rowOff>
    </xdr:from>
    <xdr:to>
      <xdr:col>23</xdr:col>
      <xdr:colOff>847440</xdr:colOff>
      <xdr:row>248</xdr:row>
      <xdr:rowOff>144360</xdr:rowOff>
    </xdr:to>
    <xdr:graphicFrame>
      <xdr:nvGraphicFramePr>
        <xdr:cNvPr id="16" name="Gráfico 19"/>
        <xdr:cNvGraphicFramePr/>
      </xdr:nvGraphicFramePr>
      <xdr:xfrm>
        <a:off x="12397680" y="4224348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</xdr:col>
      <xdr:colOff>10440</xdr:colOff>
      <xdr:row>249</xdr:row>
      <xdr:rowOff>147240</xdr:rowOff>
    </xdr:from>
    <xdr:to>
      <xdr:col>11</xdr:col>
      <xdr:colOff>756000</xdr:colOff>
      <xdr:row>273</xdr:row>
      <xdr:rowOff>152280</xdr:rowOff>
    </xdr:to>
    <xdr:graphicFrame>
      <xdr:nvGraphicFramePr>
        <xdr:cNvPr id="17" name="Gráfico 20"/>
        <xdr:cNvGraphicFramePr/>
      </xdr:nvGraphicFramePr>
      <xdr:xfrm>
        <a:off x="1706040" y="4676760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12</xdr:col>
      <xdr:colOff>760320</xdr:colOff>
      <xdr:row>249</xdr:row>
      <xdr:rowOff>153720</xdr:rowOff>
    </xdr:from>
    <xdr:to>
      <xdr:col>23</xdr:col>
      <xdr:colOff>755280</xdr:colOff>
      <xdr:row>273</xdr:row>
      <xdr:rowOff>144000</xdr:rowOff>
    </xdr:to>
    <xdr:graphicFrame>
      <xdr:nvGraphicFramePr>
        <xdr:cNvPr id="18" name="Gráfico 21"/>
        <xdr:cNvGraphicFramePr/>
      </xdr:nvGraphicFramePr>
      <xdr:xfrm>
        <a:off x="12310200" y="46774080"/>
        <a:ext cx="9320040" cy="43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24</xdr:col>
      <xdr:colOff>743760</xdr:colOff>
      <xdr:row>237</xdr:row>
      <xdr:rowOff>111240</xdr:rowOff>
    </xdr:from>
    <xdr:to>
      <xdr:col>35</xdr:col>
      <xdr:colOff>743400</xdr:colOff>
      <xdr:row>261</xdr:row>
      <xdr:rowOff>135000</xdr:rowOff>
    </xdr:to>
    <xdr:graphicFrame>
      <xdr:nvGraphicFramePr>
        <xdr:cNvPr id="19" name="Gráfico 22"/>
        <xdr:cNvGraphicFramePr/>
      </xdr:nvGraphicFramePr>
      <xdr:xfrm>
        <a:off x="22466520" y="4456008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10</xdr:row>
      <xdr:rowOff>36720</xdr:rowOff>
    </xdr:from>
    <xdr:to>
      <xdr:col>13</xdr:col>
      <xdr:colOff>847440</xdr:colOff>
      <xdr:row>36</xdr:row>
      <xdr:rowOff>36360</xdr:rowOff>
    </xdr:to>
    <xdr:graphicFrame>
      <xdr:nvGraphicFramePr>
        <xdr:cNvPr id="20" name="Gráfico 1"/>
        <xdr:cNvGraphicFramePr/>
      </xdr:nvGraphicFramePr>
      <xdr:xfrm>
        <a:off x="1093320" y="2095560"/>
        <a:ext cx="11810880" cy="470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48</xdr:row>
      <xdr:rowOff>83160</xdr:rowOff>
    </xdr:from>
    <xdr:to>
      <xdr:col>13</xdr:col>
      <xdr:colOff>847440</xdr:colOff>
      <xdr:row>74</xdr:row>
      <xdr:rowOff>82800</xdr:rowOff>
    </xdr:to>
    <xdr:graphicFrame>
      <xdr:nvGraphicFramePr>
        <xdr:cNvPr id="21" name="Gráfico 2"/>
        <xdr:cNvGraphicFramePr/>
      </xdr:nvGraphicFramePr>
      <xdr:xfrm>
        <a:off x="1093320" y="9267840"/>
        <a:ext cx="11810880" cy="470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86</xdr:row>
      <xdr:rowOff>129600</xdr:rowOff>
    </xdr:from>
    <xdr:to>
      <xdr:col>13</xdr:col>
      <xdr:colOff>847440</xdr:colOff>
      <xdr:row>112</xdr:row>
      <xdr:rowOff>129240</xdr:rowOff>
    </xdr:to>
    <xdr:graphicFrame>
      <xdr:nvGraphicFramePr>
        <xdr:cNvPr id="22" name="Gráfico 3"/>
        <xdr:cNvGraphicFramePr/>
      </xdr:nvGraphicFramePr>
      <xdr:xfrm>
        <a:off x="1093320" y="16440120"/>
        <a:ext cx="11810880" cy="47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124</xdr:row>
      <xdr:rowOff>175680</xdr:rowOff>
    </xdr:from>
    <xdr:to>
      <xdr:col>13</xdr:col>
      <xdr:colOff>847440</xdr:colOff>
      <xdr:row>150</xdr:row>
      <xdr:rowOff>175680</xdr:rowOff>
    </xdr:to>
    <xdr:graphicFrame>
      <xdr:nvGraphicFramePr>
        <xdr:cNvPr id="23" name="Gráfico 4"/>
        <xdr:cNvGraphicFramePr/>
      </xdr:nvGraphicFramePr>
      <xdr:xfrm>
        <a:off x="1093320" y="23612400"/>
        <a:ext cx="11810880" cy="47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I146"/>
  <sheetViews>
    <sheetView showFormulas="false" showGridLines="true" showRowColHeaders="true" showZeros="true" rightToLeft="false" tabSelected="true" showOutlineSymbols="true" defaultGridColor="true" view="normal" topLeftCell="A1" colorId="64" zoomScale="36" zoomScaleNormal="36" zoomScalePageLayoutView="100" workbookViewId="0">
      <selection pane="topLeft" activeCell="V26" activeCellId="0" sqref="V26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2.56"/>
    <col collapsed="false" customWidth="true" hidden="false" outlineLevel="0" max="3" min="3" style="0" width="24.45"/>
    <col collapsed="false" customWidth="true" hidden="false" outlineLevel="0" max="4" min="4" style="0" width="16.55"/>
    <col collapsed="false" customWidth="true" hidden="false" outlineLevel="0" max="5" min="5" style="0" width="10.78"/>
    <col collapsed="false" customWidth="true" hidden="false" outlineLevel="0" max="7" min="7" style="0" width="10.89"/>
    <col collapsed="false" customWidth="true" hidden="false" outlineLevel="0" max="11" min="11" style="0" width="16.55"/>
    <col collapsed="false" customWidth="true" hidden="false" outlineLevel="0" max="19" min="19" style="0" width="16.55"/>
    <col collapsed="false" customWidth="true" hidden="false" outlineLevel="0" max="21" min="21" style="0" width="12.22"/>
    <col collapsed="false" customWidth="true" hidden="false" outlineLevel="0" max="26" min="26" style="0" width="10.89"/>
    <col collapsed="false" customWidth="true" hidden="false" outlineLevel="0" max="27" min="27" style="0" width="17.78"/>
    <col collapsed="false" customWidth="true" hidden="false" outlineLevel="0" max="28" min="28" style="0" width="7.55"/>
    <col collapsed="false" customWidth="true" hidden="false" outlineLevel="0" max="29" min="29" style="0" width="17.89"/>
    <col collapsed="false" customWidth="true" hidden="false" outlineLevel="0" max="30" min="30" style="0" width="13.89"/>
    <col collapsed="false" customWidth="true" hidden="false" outlineLevel="0" max="35" min="35" style="0" width="1.89"/>
    <col collapsed="false" customWidth="true" hidden="false" outlineLevel="0" max="60" min="60" style="0" width="4.33"/>
    <col collapsed="false" customWidth="true" hidden="false" outlineLevel="0" max="67" min="67" style="0" width="10.89"/>
  </cols>
  <sheetData>
    <row r="2" customFormat="false" ht="33.85" hidden="false" customHeight="false" outlineLevel="0" collapsed="false">
      <c r="B2" s="1" t="s">
        <v>0</v>
      </c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/>
    </row>
    <row r="3" customFormat="false" ht="14.25" hidden="false" customHeight="false" outlineLevel="0" collapsed="false">
      <c r="B3" s="5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</row>
    <row r="4" customFormat="false" ht="14.25" hidden="false" customHeight="false" outlineLevel="0" collapsed="false">
      <c r="B4" s="9"/>
      <c r="C4" s="10" t="s">
        <v>1</v>
      </c>
      <c r="D4" s="11"/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2" t="s">
        <v>8</v>
      </c>
      <c r="L4" s="12"/>
      <c r="M4" s="11" t="s">
        <v>2</v>
      </c>
      <c r="N4" s="11" t="s">
        <v>3</v>
      </c>
      <c r="O4" s="11" t="s">
        <v>4</v>
      </c>
      <c r="P4" s="11" t="s">
        <v>5</v>
      </c>
      <c r="Q4" s="11" t="s">
        <v>6</v>
      </c>
      <c r="R4" s="11" t="s">
        <v>7</v>
      </c>
      <c r="S4" s="12" t="s">
        <v>9</v>
      </c>
      <c r="T4" s="12"/>
      <c r="U4" s="11" t="s">
        <v>2</v>
      </c>
      <c r="V4" s="11" t="s">
        <v>3</v>
      </c>
      <c r="W4" s="11" t="s">
        <v>4</v>
      </c>
      <c r="X4" s="11" t="s">
        <v>5</v>
      </c>
      <c r="Y4" s="11" t="s">
        <v>6</v>
      </c>
      <c r="Z4" s="11" t="s">
        <v>7</v>
      </c>
      <c r="AA4" s="12" t="s">
        <v>10</v>
      </c>
      <c r="AB4" s="12"/>
      <c r="AC4" s="11" t="s">
        <v>2</v>
      </c>
      <c r="AD4" s="11" t="s">
        <v>3</v>
      </c>
      <c r="AE4" s="11" t="s">
        <v>4</v>
      </c>
      <c r="AF4" s="11" t="s">
        <v>5</v>
      </c>
      <c r="AG4" s="11" t="s">
        <v>6</v>
      </c>
      <c r="AH4" s="13" t="s">
        <v>7</v>
      </c>
      <c r="AI4" s="8"/>
    </row>
    <row r="5" customFormat="false" ht="16.4" hidden="false" customHeight="false" outlineLevel="0" collapsed="false">
      <c r="B5" s="9"/>
      <c r="C5" s="14"/>
      <c r="D5" s="15" t="s">
        <v>11</v>
      </c>
      <c r="E5" s="16" t="n">
        <v>108213</v>
      </c>
      <c r="F5" s="16" t="n">
        <v>54174</v>
      </c>
      <c r="G5" s="16" t="n">
        <v>27374</v>
      </c>
      <c r="H5" s="16" t="n">
        <v>20902</v>
      </c>
      <c r="I5" s="16" t="n">
        <v>28251</v>
      </c>
      <c r="J5" s="16" t="n">
        <v>22329</v>
      </c>
      <c r="K5" s="7"/>
      <c r="L5" s="7"/>
      <c r="M5" s="16" t="n">
        <v>1556395</v>
      </c>
      <c r="N5" s="16" t="n">
        <v>657649</v>
      </c>
      <c r="O5" s="16" t="n">
        <v>357276</v>
      </c>
      <c r="P5" s="16" t="n">
        <v>265514</v>
      </c>
      <c r="Q5" s="16" t="n">
        <v>201907</v>
      </c>
      <c r="R5" s="16" t="n">
        <v>280547</v>
      </c>
      <c r="S5" s="7"/>
      <c r="T5" s="7"/>
      <c r="U5" s="16" t="n">
        <v>4410236</v>
      </c>
      <c r="V5" s="16" t="n">
        <v>2460319</v>
      </c>
      <c r="W5" s="16" t="n">
        <v>1315527</v>
      </c>
      <c r="X5" s="16" t="n">
        <v>640443</v>
      </c>
      <c r="Y5" s="16" t="n">
        <v>703079</v>
      </c>
      <c r="Z5" s="16" t="n">
        <v>1179466</v>
      </c>
      <c r="AA5" s="7"/>
      <c r="AB5" s="7"/>
      <c r="AC5" s="16" t="n">
        <v>112064052</v>
      </c>
      <c r="AD5" s="16" t="n">
        <v>53177085</v>
      </c>
      <c r="AE5" s="16" t="n">
        <v>26912662</v>
      </c>
      <c r="AF5" s="16" t="n">
        <v>17275351</v>
      </c>
      <c r="AG5" s="16" t="n">
        <v>14829874</v>
      </c>
      <c r="AH5" s="16" t="n">
        <v>14816707</v>
      </c>
      <c r="AI5" s="8"/>
    </row>
    <row r="6" customFormat="false" ht="16.4" hidden="false" customHeight="false" outlineLevel="0" collapsed="false">
      <c r="B6" s="9"/>
      <c r="C6" s="14"/>
      <c r="D6" s="15" t="s">
        <v>12</v>
      </c>
      <c r="E6" s="16" t="n">
        <v>104489</v>
      </c>
      <c r="F6" s="16" t="n">
        <v>57677</v>
      </c>
      <c r="G6" s="16" t="n">
        <v>30184</v>
      </c>
      <c r="H6" s="16" t="n">
        <v>21226</v>
      </c>
      <c r="I6" s="16" t="n">
        <v>24080</v>
      </c>
      <c r="J6" s="16" t="n">
        <v>20815</v>
      </c>
      <c r="K6" s="7"/>
      <c r="L6" s="7"/>
      <c r="M6" s="16" t="n">
        <v>1513051</v>
      </c>
      <c r="N6" s="16" t="n">
        <v>714835</v>
      </c>
      <c r="O6" s="16" t="n">
        <v>358539</v>
      </c>
      <c r="P6" s="16" t="n">
        <v>232963</v>
      </c>
      <c r="Q6" s="16" t="n">
        <v>199895</v>
      </c>
      <c r="R6" s="16" t="n">
        <v>280277</v>
      </c>
      <c r="S6" s="7"/>
      <c r="T6" s="7"/>
      <c r="U6" s="16" t="n">
        <v>4330975</v>
      </c>
      <c r="V6" s="16" t="n">
        <v>2459856</v>
      </c>
      <c r="W6" s="16" t="n">
        <v>1232866</v>
      </c>
      <c r="X6" s="16" t="n">
        <v>673071</v>
      </c>
      <c r="Y6" s="16" t="n">
        <v>752102</v>
      </c>
      <c r="Z6" s="16" t="n">
        <v>1173848</v>
      </c>
      <c r="AA6" s="7"/>
      <c r="AB6" s="7"/>
      <c r="AC6" s="16" t="n">
        <v>113487716</v>
      </c>
      <c r="AD6" s="16" t="n">
        <v>51153042</v>
      </c>
      <c r="AE6" s="16" t="n">
        <v>27596459</v>
      </c>
      <c r="AF6" s="16" t="n">
        <v>18388851</v>
      </c>
      <c r="AG6" s="16" t="n">
        <v>14725859</v>
      </c>
      <c r="AH6" s="16" t="n">
        <v>14855436</v>
      </c>
      <c r="AI6" s="8"/>
    </row>
    <row r="7" customFormat="false" ht="16.4" hidden="false" customHeight="false" outlineLevel="0" collapsed="false">
      <c r="B7" s="9"/>
      <c r="C7" s="14"/>
      <c r="D7" s="15" t="s">
        <v>13</v>
      </c>
      <c r="E7" s="16" t="n">
        <v>103183</v>
      </c>
      <c r="F7" s="16" t="n">
        <v>55630</v>
      </c>
      <c r="G7" s="16" t="n">
        <v>36610</v>
      </c>
      <c r="H7" s="16" t="n">
        <v>19713</v>
      </c>
      <c r="I7" s="16" t="n">
        <v>19236</v>
      </c>
      <c r="J7" s="16" t="n">
        <v>22894</v>
      </c>
      <c r="K7" s="7"/>
      <c r="L7" s="7"/>
      <c r="M7" s="16" t="n">
        <v>1516908</v>
      </c>
      <c r="N7" s="16" t="n">
        <v>774443</v>
      </c>
      <c r="O7" s="16" t="n">
        <v>358265</v>
      </c>
      <c r="P7" s="16" t="n">
        <v>239936</v>
      </c>
      <c r="Q7" s="16" t="n">
        <v>201272</v>
      </c>
      <c r="R7" s="16" t="n">
        <v>283167</v>
      </c>
      <c r="S7" s="7"/>
      <c r="T7" s="7"/>
      <c r="U7" s="16" t="n">
        <v>4385248</v>
      </c>
      <c r="V7" s="16" t="n">
        <v>2592279</v>
      </c>
      <c r="W7" s="16" t="n">
        <v>1312617</v>
      </c>
      <c r="X7" s="16" t="n">
        <v>674376</v>
      </c>
      <c r="Y7" s="16" t="n">
        <v>699371</v>
      </c>
      <c r="Z7" s="16" t="n">
        <v>1192472</v>
      </c>
      <c r="AA7" s="7"/>
      <c r="AB7" s="7"/>
      <c r="AC7" s="16" t="n">
        <v>113290264</v>
      </c>
      <c r="AD7" s="16" t="n">
        <v>53073475</v>
      </c>
      <c r="AE7" s="16" t="n">
        <v>26507658</v>
      </c>
      <c r="AF7" s="16" t="n">
        <v>16058920</v>
      </c>
      <c r="AG7" s="16" t="n">
        <v>14700918</v>
      </c>
      <c r="AH7" s="16" t="n">
        <v>16263012</v>
      </c>
      <c r="AI7" s="8"/>
    </row>
    <row r="8" customFormat="false" ht="16.4" hidden="false" customHeight="false" outlineLevel="0" collapsed="false">
      <c r="B8" s="9"/>
      <c r="C8" s="14"/>
      <c r="D8" s="15" t="s">
        <v>14</v>
      </c>
      <c r="E8" s="16" t="n">
        <v>105523</v>
      </c>
      <c r="F8" s="16" t="n">
        <v>60958</v>
      </c>
      <c r="G8" s="16" t="n">
        <v>35401</v>
      </c>
      <c r="H8" s="16" t="n">
        <v>19941</v>
      </c>
      <c r="I8" s="16" t="n">
        <v>19226</v>
      </c>
      <c r="J8" s="16" t="n">
        <v>24132</v>
      </c>
      <c r="K8" s="7"/>
      <c r="L8" s="7"/>
      <c r="M8" s="16" t="n">
        <v>1479016</v>
      </c>
      <c r="N8" s="16" t="n">
        <v>722568</v>
      </c>
      <c r="O8" s="16" t="n">
        <v>357457</v>
      </c>
      <c r="P8" s="16" t="n">
        <v>253348</v>
      </c>
      <c r="Q8" s="16" t="n">
        <v>204177</v>
      </c>
      <c r="R8" s="16" t="n">
        <v>285312</v>
      </c>
      <c r="S8" s="7"/>
      <c r="T8" s="7"/>
      <c r="U8" s="16" t="n">
        <v>4276995</v>
      </c>
      <c r="V8" s="16" t="n">
        <v>2487226</v>
      </c>
      <c r="W8" s="16" t="n">
        <v>1287303</v>
      </c>
      <c r="X8" s="16" t="n">
        <v>698905</v>
      </c>
      <c r="Y8" s="16" t="n">
        <v>755026</v>
      </c>
      <c r="Z8" s="16" t="n">
        <v>1137115</v>
      </c>
      <c r="AA8" s="7"/>
      <c r="AB8" s="7"/>
      <c r="AC8" s="16" t="n">
        <v>110786779</v>
      </c>
      <c r="AD8" s="16" t="n">
        <v>51661009</v>
      </c>
      <c r="AE8" s="16" t="n">
        <v>26207423</v>
      </c>
      <c r="AF8" s="16" t="n">
        <v>16082881</v>
      </c>
      <c r="AG8" s="16" t="n">
        <v>15192693</v>
      </c>
      <c r="AH8" s="16" t="n">
        <v>16002965</v>
      </c>
      <c r="AI8" s="8"/>
    </row>
    <row r="9" customFormat="false" ht="16.4" hidden="false" customHeight="false" outlineLevel="0" collapsed="false">
      <c r="B9" s="9"/>
      <c r="C9" s="14"/>
      <c r="D9" s="15" t="s">
        <v>15</v>
      </c>
      <c r="E9" s="16" t="n">
        <v>104299</v>
      </c>
      <c r="F9" s="16" t="n">
        <v>54259</v>
      </c>
      <c r="G9" s="16" t="n">
        <v>32491</v>
      </c>
      <c r="H9" s="16" t="n">
        <v>19394</v>
      </c>
      <c r="I9" s="16" t="n">
        <v>18866</v>
      </c>
      <c r="J9" s="16" t="n">
        <v>23677</v>
      </c>
      <c r="K9" s="7"/>
      <c r="L9" s="7"/>
      <c r="M9" s="16" t="n">
        <v>1478409</v>
      </c>
      <c r="N9" s="16" t="n">
        <v>715851</v>
      </c>
      <c r="O9" s="16" t="n">
        <v>362224</v>
      </c>
      <c r="P9" s="16" t="n">
        <v>294122</v>
      </c>
      <c r="Q9" s="16" t="n">
        <v>215637</v>
      </c>
      <c r="R9" s="16" t="n">
        <v>289980</v>
      </c>
      <c r="S9" s="7"/>
      <c r="T9" s="7"/>
      <c r="U9" s="16" t="n">
        <v>4382211</v>
      </c>
      <c r="V9" s="16" t="n">
        <v>2568122</v>
      </c>
      <c r="W9" s="16" t="n">
        <v>1304810</v>
      </c>
      <c r="X9" s="16" t="n">
        <v>664450</v>
      </c>
      <c r="Y9" s="16" t="n">
        <v>703872</v>
      </c>
      <c r="Z9" s="16" t="n">
        <v>1175658</v>
      </c>
      <c r="AA9" s="7"/>
      <c r="AB9" s="7"/>
      <c r="AC9" s="16" t="n">
        <v>115178484</v>
      </c>
      <c r="AD9" s="16" t="n">
        <v>55122789</v>
      </c>
      <c r="AE9" s="16" t="n">
        <v>26316884</v>
      </c>
      <c r="AF9" s="16" t="n">
        <v>16777232</v>
      </c>
      <c r="AG9" s="16" t="n">
        <v>14598250</v>
      </c>
      <c r="AH9" s="16" t="n">
        <v>14319894</v>
      </c>
      <c r="AI9" s="8"/>
    </row>
    <row r="10" customFormat="false" ht="16.4" hidden="false" customHeight="false" outlineLevel="0" collapsed="false">
      <c r="B10" s="9"/>
      <c r="C10" s="14"/>
      <c r="D10" s="15" t="s">
        <v>16</v>
      </c>
      <c r="E10" s="16" t="n">
        <v>103648</v>
      </c>
      <c r="F10" s="16" t="n">
        <v>60746</v>
      </c>
      <c r="G10" s="16" t="n">
        <v>31691</v>
      </c>
      <c r="H10" s="16" t="n">
        <v>19665</v>
      </c>
      <c r="I10" s="16" t="n">
        <v>23050</v>
      </c>
      <c r="J10" s="16" t="n">
        <v>27199</v>
      </c>
      <c r="K10" s="7"/>
      <c r="L10" s="7"/>
      <c r="M10" s="16" t="n">
        <v>1503625</v>
      </c>
      <c r="N10" s="16" t="n">
        <v>698205</v>
      </c>
      <c r="O10" s="16" t="n">
        <v>366273</v>
      </c>
      <c r="P10" s="16" t="n">
        <v>240057</v>
      </c>
      <c r="Q10" s="16" t="n">
        <v>201176</v>
      </c>
      <c r="R10" s="16" t="n">
        <v>286764</v>
      </c>
      <c r="S10" s="7"/>
      <c r="T10" s="7"/>
      <c r="U10" s="16" t="n">
        <v>4295291</v>
      </c>
      <c r="V10" s="16" t="n">
        <v>2459884</v>
      </c>
      <c r="W10" s="16" t="n">
        <v>1246442</v>
      </c>
      <c r="X10" s="16" t="n">
        <v>690874</v>
      </c>
      <c r="Y10" s="16" t="n">
        <v>718204</v>
      </c>
      <c r="Z10" s="16" t="n">
        <v>1184425</v>
      </c>
      <c r="AA10" s="7"/>
      <c r="AB10" s="7"/>
      <c r="AC10" s="16" t="n">
        <v>115967200</v>
      </c>
      <c r="AD10" s="16" t="n">
        <v>56453411</v>
      </c>
      <c r="AE10" s="16" t="n">
        <v>26128817</v>
      </c>
      <c r="AF10" s="16" t="n">
        <v>17064616</v>
      </c>
      <c r="AG10" s="16" t="n">
        <v>15215441</v>
      </c>
      <c r="AH10" s="16" t="n">
        <v>14272994</v>
      </c>
      <c r="AI10" s="8"/>
    </row>
    <row r="11" customFormat="false" ht="16.4" hidden="false" customHeight="false" outlineLevel="0" collapsed="false">
      <c r="B11" s="9"/>
      <c r="C11" s="14"/>
      <c r="D11" s="15" t="s">
        <v>17</v>
      </c>
      <c r="E11" s="16" t="n">
        <v>103904</v>
      </c>
      <c r="F11" s="16" t="n">
        <v>54267</v>
      </c>
      <c r="G11" s="16" t="n">
        <v>34821</v>
      </c>
      <c r="H11" s="16" t="n">
        <v>20516</v>
      </c>
      <c r="I11" s="16" t="n">
        <v>28965</v>
      </c>
      <c r="J11" s="16" t="n">
        <v>28107</v>
      </c>
      <c r="K11" s="7"/>
      <c r="L11" s="7"/>
      <c r="M11" s="16" t="n">
        <v>1468342</v>
      </c>
      <c r="N11" s="16" t="n">
        <v>722406</v>
      </c>
      <c r="O11" s="16" t="n">
        <v>361415</v>
      </c>
      <c r="P11" s="16" t="n">
        <v>297278</v>
      </c>
      <c r="Q11" s="16" t="n">
        <v>210344</v>
      </c>
      <c r="R11" s="16" t="n">
        <v>286612</v>
      </c>
      <c r="S11" s="7"/>
      <c r="T11" s="7"/>
      <c r="U11" s="16" t="n">
        <v>4379180</v>
      </c>
      <c r="V11" s="16" t="n">
        <v>2402827</v>
      </c>
      <c r="W11" s="16" t="n">
        <v>1273352</v>
      </c>
      <c r="X11" s="16" t="n">
        <v>670287</v>
      </c>
      <c r="Y11" s="16" t="n">
        <v>700406</v>
      </c>
      <c r="Z11" s="16" t="n">
        <v>1188694</v>
      </c>
      <c r="AA11" s="7"/>
      <c r="AB11" s="7"/>
      <c r="AC11" s="16" t="n">
        <v>113056943</v>
      </c>
      <c r="AD11" s="16" t="n">
        <v>52930534</v>
      </c>
      <c r="AE11" s="16" t="n">
        <v>27240597</v>
      </c>
      <c r="AF11" s="16" t="n">
        <v>16588557</v>
      </c>
      <c r="AG11" s="16" t="n">
        <v>15252707</v>
      </c>
      <c r="AH11" s="16" t="n">
        <v>14433434</v>
      </c>
      <c r="AI11" s="8"/>
    </row>
    <row r="12" customFormat="false" ht="16.4" hidden="false" customHeight="false" outlineLevel="0" collapsed="false">
      <c r="B12" s="9"/>
      <c r="C12" s="14"/>
      <c r="D12" s="15" t="s">
        <v>18</v>
      </c>
      <c r="E12" s="16" t="n">
        <v>107627</v>
      </c>
      <c r="F12" s="16" t="n">
        <v>56182</v>
      </c>
      <c r="G12" s="16" t="n">
        <v>35742</v>
      </c>
      <c r="H12" s="16" t="n">
        <v>22074</v>
      </c>
      <c r="I12" s="16" t="n">
        <v>23643</v>
      </c>
      <c r="J12" s="16" t="n">
        <v>17309</v>
      </c>
      <c r="K12" s="7"/>
      <c r="L12" s="7"/>
      <c r="M12" s="16" t="n">
        <v>1555047</v>
      </c>
      <c r="N12" s="16" t="n">
        <v>802805</v>
      </c>
      <c r="O12" s="16" t="n">
        <v>361262</v>
      </c>
      <c r="P12" s="16" t="n">
        <v>249599</v>
      </c>
      <c r="Q12" s="16" t="n">
        <v>205037</v>
      </c>
      <c r="R12" s="16" t="n">
        <v>273396</v>
      </c>
      <c r="S12" s="7"/>
      <c r="T12" s="7"/>
      <c r="U12" s="16" t="n">
        <v>4370694</v>
      </c>
      <c r="V12" s="16" t="n">
        <v>3100906</v>
      </c>
      <c r="W12" s="16" t="n">
        <v>1245081</v>
      </c>
      <c r="X12" s="16" t="n">
        <v>781716</v>
      </c>
      <c r="Y12" s="16" t="n">
        <v>688251</v>
      </c>
      <c r="Z12" s="16" t="n">
        <v>1181032</v>
      </c>
      <c r="AA12" s="7"/>
      <c r="AB12" s="7"/>
      <c r="AC12" s="16" t="n">
        <v>110369813</v>
      </c>
      <c r="AD12" s="16" t="n">
        <v>52438712</v>
      </c>
      <c r="AE12" s="16" t="n">
        <v>26173669</v>
      </c>
      <c r="AF12" s="16" t="n">
        <v>18200775</v>
      </c>
      <c r="AG12" s="16" t="n">
        <v>14748853</v>
      </c>
      <c r="AH12" s="16" t="n">
        <v>14344703</v>
      </c>
      <c r="AI12" s="8"/>
    </row>
    <row r="13" customFormat="false" ht="16.4" hidden="false" customHeight="false" outlineLevel="0" collapsed="false">
      <c r="B13" s="9"/>
      <c r="C13" s="14"/>
      <c r="D13" s="15" t="s">
        <v>19</v>
      </c>
      <c r="E13" s="16" t="n">
        <v>104870</v>
      </c>
      <c r="F13" s="16" t="n">
        <v>57329</v>
      </c>
      <c r="G13" s="16" t="n">
        <v>33656</v>
      </c>
      <c r="H13" s="16" t="n">
        <v>22533</v>
      </c>
      <c r="I13" s="16" t="n">
        <v>15795</v>
      </c>
      <c r="J13" s="16" t="n">
        <v>18452</v>
      </c>
      <c r="K13" s="7"/>
      <c r="L13" s="7"/>
      <c r="M13" s="16" t="n">
        <v>1478987</v>
      </c>
      <c r="N13" s="16" t="n">
        <v>751721</v>
      </c>
      <c r="O13" s="16" t="n">
        <v>362471</v>
      </c>
      <c r="P13" s="16" t="n">
        <v>244692</v>
      </c>
      <c r="Q13" s="16" t="n">
        <v>200478</v>
      </c>
      <c r="R13" s="16" t="n">
        <v>289105</v>
      </c>
      <c r="S13" s="7"/>
      <c r="T13" s="7"/>
      <c r="U13" s="16" t="n">
        <v>4348821</v>
      </c>
      <c r="V13" s="16" t="n">
        <v>2648028</v>
      </c>
      <c r="W13" s="16" t="n">
        <v>1288196</v>
      </c>
      <c r="X13" s="16" t="n">
        <v>728387</v>
      </c>
      <c r="Y13" s="16" t="n">
        <v>752831</v>
      </c>
      <c r="Z13" s="16" t="n">
        <v>1162704</v>
      </c>
      <c r="AA13" s="7"/>
      <c r="AB13" s="7"/>
      <c r="AC13" s="16" t="n">
        <v>120743738</v>
      </c>
      <c r="AD13" s="16" t="n">
        <v>54631246</v>
      </c>
      <c r="AE13" s="16" t="n">
        <v>26223384</v>
      </c>
      <c r="AF13" s="16" t="n">
        <v>16464949</v>
      </c>
      <c r="AG13" s="16" t="n">
        <v>14445155</v>
      </c>
      <c r="AH13" s="16" t="n">
        <v>14287279</v>
      </c>
      <c r="AI13" s="8"/>
    </row>
    <row r="14" customFormat="false" ht="16.4" hidden="false" customHeight="false" outlineLevel="0" collapsed="false">
      <c r="B14" s="9"/>
      <c r="C14" s="14"/>
      <c r="D14" s="15" t="s">
        <v>20</v>
      </c>
      <c r="E14" s="16" t="n">
        <v>103809</v>
      </c>
      <c r="F14" s="16" t="n">
        <v>53594</v>
      </c>
      <c r="G14" s="16" t="n">
        <v>34624</v>
      </c>
      <c r="H14" s="16" t="n">
        <v>21383</v>
      </c>
      <c r="I14" s="16" t="n">
        <v>21018</v>
      </c>
      <c r="J14" s="16" t="n">
        <v>26903</v>
      </c>
      <c r="K14" s="7"/>
      <c r="L14" s="7"/>
      <c r="M14" s="16" t="n">
        <v>1498104</v>
      </c>
      <c r="N14" s="16" t="n">
        <v>762233</v>
      </c>
      <c r="O14" s="16" t="n">
        <v>370414</v>
      </c>
      <c r="P14" s="16" t="n">
        <v>289991</v>
      </c>
      <c r="Q14" s="16" t="n">
        <v>203656</v>
      </c>
      <c r="R14" s="16" t="n">
        <v>271170</v>
      </c>
      <c r="S14" s="7"/>
      <c r="T14" s="7"/>
      <c r="U14" s="16" t="n">
        <v>4349851</v>
      </c>
      <c r="V14" s="16" t="n">
        <v>2479305</v>
      </c>
      <c r="W14" s="16" t="n">
        <v>1274281</v>
      </c>
      <c r="X14" s="16" t="n">
        <v>671861</v>
      </c>
      <c r="Y14" s="16" t="n">
        <v>684151</v>
      </c>
      <c r="Z14" s="16" t="n">
        <v>1180971</v>
      </c>
      <c r="AA14" s="7"/>
      <c r="AB14" s="7"/>
      <c r="AC14" s="16" t="n">
        <v>112239191</v>
      </c>
      <c r="AD14" s="16" t="n">
        <v>53303610</v>
      </c>
      <c r="AE14" s="16" t="n">
        <v>26559124</v>
      </c>
      <c r="AF14" s="16" t="n">
        <v>16777452</v>
      </c>
      <c r="AG14" s="16" t="n">
        <v>14830440</v>
      </c>
      <c r="AH14" s="16" t="n">
        <v>14501708</v>
      </c>
      <c r="AI14" s="8"/>
    </row>
    <row r="15" customFormat="false" ht="16.4" hidden="false" customHeight="false" outlineLevel="0" collapsed="false">
      <c r="B15" s="9"/>
      <c r="C15" s="14"/>
      <c r="D15" s="15" t="s">
        <v>21</v>
      </c>
      <c r="E15" s="16" t="n">
        <v>105350</v>
      </c>
      <c r="F15" s="16" t="n">
        <v>58311</v>
      </c>
      <c r="G15" s="16" t="n">
        <v>31897</v>
      </c>
      <c r="H15" s="16" t="n">
        <v>21346</v>
      </c>
      <c r="I15" s="16" t="n">
        <v>20440</v>
      </c>
      <c r="J15" s="16" t="n">
        <v>27477</v>
      </c>
      <c r="K15" s="7"/>
      <c r="L15" s="7"/>
      <c r="M15" s="16" t="n">
        <v>1506803</v>
      </c>
      <c r="N15" s="16" t="n">
        <v>793229</v>
      </c>
      <c r="O15" s="16" t="n">
        <v>367906</v>
      </c>
      <c r="P15" s="16" t="n">
        <v>278096</v>
      </c>
      <c r="Q15" s="16" t="n">
        <v>203221</v>
      </c>
      <c r="R15" s="16" t="n">
        <v>282882</v>
      </c>
      <c r="S15" s="7"/>
      <c r="T15" s="7"/>
      <c r="U15" s="16" t="n">
        <v>4301659</v>
      </c>
      <c r="V15" s="16" t="n">
        <v>2503886</v>
      </c>
      <c r="W15" s="16" t="n">
        <v>1259657</v>
      </c>
      <c r="X15" s="16" t="n">
        <v>676627</v>
      </c>
      <c r="Y15" s="16" t="n">
        <v>694186</v>
      </c>
      <c r="Z15" s="16" t="n">
        <v>1155316</v>
      </c>
      <c r="AA15" s="17"/>
      <c r="AB15" s="7"/>
      <c r="AC15" s="16" t="n">
        <v>109852817</v>
      </c>
      <c r="AD15" s="16" t="n">
        <v>51301047</v>
      </c>
      <c r="AE15" s="16" t="n">
        <v>26789055</v>
      </c>
      <c r="AF15" s="16" t="n">
        <v>17135498</v>
      </c>
      <c r="AG15" s="16" t="n">
        <v>15058848</v>
      </c>
      <c r="AH15" s="16" t="n">
        <v>15204051</v>
      </c>
      <c r="AI15" s="8"/>
    </row>
    <row r="16" customFormat="false" ht="16.4" hidden="false" customHeight="false" outlineLevel="0" collapsed="false">
      <c r="B16" s="9"/>
      <c r="C16" s="14"/>
      <c r="D16" s="15" t="s">
        <v>22</v>
      </c>
      <c r="E16" s="16" t="n">
        <v>105723</v>
      </c>
      <c r="F16" s="16" t="n">
        <v>56017</v>
      </c>
      <c r="G16" s="16" t="n">
        <v>33981</v>
      </c>
      <c r="H16" s="16" t="n">
        <v>16389</v>
      </c>
      <c r="I16" s="16" t="n">
        <v>24796</v>
      </c>
      <c r="J16" s="16" t="n">
        <v>22247</v>
      </c>
      <c r="K16" s="7"/>
      <c r="L16" s="7"/>
      <c r="M16" s="16" t="n">
        <v>1883781</v>
      </c>
      <c r="N16" s="16" t="n">
        <v>760702</v>
      </c>
      <c r="O16" s="16" t="n">
        <v>363770</v>
      </c>
      <c r="P16" s="16" t="n">
        <v>300995</v>
      </c>
      <c r="Q16" s="16" t="n">
        <v>195389</v>
      </c>
      <c r="R16" s="16" t="n">
        <v>281479</v>
      </c>
      <c r="S16" s="7"/>
      <c r="T16" s="7"/>
      <c r="U16" s="16" t="n">
        <v>4379275</v>
      </c>
      <c r="V16" s="16" t="n">
        <v>2519022</v>
      </c>
      <c r="W16" s="16" t="n">
        <v>1225061</v>
      </c>
      <c r="X16" s="16" t="n">
        <v>712951</v>
      </c>
      <c r="Y16" s="16" t="n">
        <v>673781</v>
      </c>
      <c r="Z16" s="16" t="n">
        <v>1160690</v>
      </c>
      <c r="AA16" s="7"/>
      <c r="AB16" s="7"/>
      <c r="AC16" s="16" t="n">
        <v>111632186</v>
      </c>
      <c r="AD16" s="16" t="n">
        <v>52029327</v>
      </c>
      <c r="AE16" s="16" t="n">
        <v>25703081</v>
      </c>
      <c r="AF16" s="16" t="n">
        <v>20609128</v>
      </c>
      <c r="AG16" s="16" t="n">
        <v>14828384</v>
      </c>
      <c r="AH16" s="16" t="n">
        <v>14949299</v>
      </c>
      <c r="AI16" s="8"/>
    </row>
    <row r="17" customFormat="false" ht="16.4" hidden="false" customHeight="false" outlineLevel="0" collapsed="false">
      <c r="B17" s="9"/>
      <c r="C17" s="14"/>
      <c r="D17" s="15" t="s">
        <v>23</v>
      </c>
      <c r="E17" s="16" t="n">
        <v>102194</v>
      </c>
      <c r="F17" s="16" t="n">
        <v>59035</v>
      </c>
      <c r="G17" s="16" t="n">
        <v>33746</v>
      </c>
      <c r="H17" s="16" t="n">
        <v>20972</v>
      </c>
      <c r="I17" s="16" t="n">
        <v>21918</v>
      </c>
      <c r="J17" s="16" t="n">
        <v>26781</v>
      </c>
      <c r="K17" s="7"/>
      <c r="L17" s="7"/>
      <c r="M17" s="16" t="n">
        <v>1586851</v>
      </c>
      <c r="N17" s="16" t="n">
        <v>888297</v>
      </c>
      <c r="O17" s="16" t="n">
        <v>366934</v>
      </c>
      <c r="P17" s="16" t="n">
        <v>300658</v>
      </c>
      <c r="Q17" s="16" t="n">
        <v>251120</v>
      </c>
      <c r="R17" s="16" t="n">
        <v>282034</v>
      </c>
      <c r="S17" s="7"/>
      <c r="T17" s="7"/>
      <c r="U17" s="16" t="n">
        <v>4441440</v>
      </c>
      <c r="V17" s="16" t="n">
        <v>2489528</v>
      </c>
      <c r="W17" s="16" t="n">
        <v>1354457</v>
      </c>
      <c r="X17" s="16" t="n">
        <v>687042</v>
      </c>
      <c r="Y17" s="16" t="n">
        <v>683761</v>
      </c>
      <c r="Z17" s="16" t="n">
        <v>1154879</v>
      </c>
      <c r="AA17" s="7"/>
      <c r="AB17" s="7"/>
      <c r="AC17" s="16" t="n">
        <v>111983620</v>
      </c>
      <c r="AD17" s="16" t="n">
        <v>52640627</v>
      </c>
      <c r="AE17" s="16" t="n">
        <v>26514246</v>
      </c>
      <c r="AF17" s="16" t="n">
        <v>16806850</v>
      </c>
      <c r="AG17" s="16" t="n">
        <v>14873009</v>
      </c>
      <c r="AH17" s="16" t="n">
        <v>14327681</v>
      </c>
      <c r="AI17" s="8"/>
    </row>
    <row r="18" customFormat="false" ht="16.4" hidden="false" customHeight="false" outlineLevel="0" collapsed="false">
      <c r="B18" s="9"/>
      <c r="C18" s="14"/>
      <c r="D18" s="15" t="s">
        <v>24</v>
      </c>
      <c r="E18" s="16" t="n">
        <v>103211</v>
      </c>
      <c r="F18" s="16" t="n">
        <v>55094</v>
      </c>
      <c r="G18" s="16" t="n">
        <v>34446</v>
      </c>
      <c r="H18" s="16" t="n">
        <v>20831</v>
      </c>
      <c r="I18" s="16" t="n">
        <v>19620</v>
      </c>
      <c r="J18" s="16" t="n">
        <v>22014</v>
      </c>
      <c r="K18" s="7"/>
      <c r="L18" s="7"/>
      <c r="M18" s="16" t="n">
        <v>1527330</v>
      </c>
      <c r="N18" s="16" t="n">
        <v>864390</v>
      </c>
      <c r="O18" s="16" t="n">
        <v>389877</v>
      </c>
      <c r="P18" s="16" t="n">
        <v>300039</v>
      </c>
      <c r="Q18" s="16" t="n">
        <v>252905</v>
      </c>
      <c r="R18" s="16" t="n">
        <v>293818</v>
      </c>
      <c r="S18" s="7"/>
      <c r="T18" s="7"/>
      <c r="U18" s="16" t="n">
        <v>4347779</v>
      </c>
      <c r="V18" s="16" t="n">
        <v>2455137</v>
      </c>
      <c r="W18" s="16" t="n">
        <v>1275087</v>
      </c>
      <c r="X18" s="16" t="n">
        <v>662630</v>
      </c>
      <c r="Y18" s="16" t="n">
        <v>690033</v>
      </c>
      <c r="Z18" s="16" t="n">
        <v>1182739</v>
      </c>
      <c r="AA18" s="7"/>
      <c r="AB18" s="7"/>
      <c r="AC18" s="16" t="n">
        <v>114593352</v>
      </c>
      <c r="AD18" s="16" t="n">
        <v>55704944</v>
      </c>
      <c r="AE18" s="16" t="n">
        <v>27897181</v>
      </c>
      <c r="AF18" s="16" t="n">
        <v>16850297</v>
      </c>
      <c r="AG18" s="16" t="n">
        <v>14979081</v>
      </c>
      <c r="AH18" s="16" t="n">
        <v>14669401</v>
      </c>
      <c r="AI18" s="8"/>
    </row>
    <row r="19" customFormat="false" ht="16.4" hidden="false" customHeight="false" outlineLevel="0" collapsed="false">
      <c r="B19" s="9"/>
      <c r="C19" s="14"/>
      <c r="D19" s="15" t="s">
        <v>25</v>
      </c>
      <c r="E19" s="16" t="n">
        <v>104596</v>
      </c>
      <c r="F19" s="16" t="n">
        <v>58598</v>
      </c>
      <c r="G19" s="16" t="n">
        <v>29200</v>
      </c>
      <c r="H19" s="16" t="n">
        <v>18578</v>
      </c>
      <c r="I19" s="16" t="n">
        <v>16731</v>
      </c>
      <c r="J19" s="16" t="n">
        <v>26205</v>
      </c>
      <c r="K19" s="7"/>
      <c r="L19" s="7"/>
      <c r="M19" s="16" t="n">
        <v>1526588</v>
      </c>
      <c r="N19" s="16" t="n">
        <v>950327</v>
      </c>
      <c r="O19" s="16" t="n">
        <v>376798</v>
      </c>
      <c r="P19" s="16" t="n">
        <v>276262</v>
      </c>
      <c r="Q19" s="16" t="n">
        <v>251333</v>
      </c>
      <c r="R19" s="16" t="n">
        <v>291366</v>
      </c>
      <c r="S19" s="7"/>
      <c r="T19" s="7"/>
      <c r="U19" s="16" t="n">
        <v>4346438</v>
      </c>
      <c r="V19" s="16" t="n">
        <v>2464170</v>
      </c>
      <c r="W19" s="16" t="n">
        <v>1251586</v>
      </c>
      <c r="X19" s="16" t="n">
        <v>652248</v>
      </c>
      <c r="Y19" s="16" t="n">
        <v>705796</v>
      </c>
      <c r="Z19" s="16" t="n">
        <v>1209347</v>
      </c>
      <c r="AA19" s="7"/>
      <c r="AB19" s="7"/>
      <c r="AC19" s="16" t="n">
        <v>111135699</v>
      </c>
      <c r="AD19" s="16" t="n">
        <v>57218015</v>
      </c>
      <c r="AE19" s="16" t="n">
        <v>26987912</v>
      </c>
      <c r="AF19" s="16" t="n">
        <v>19323576</v>
      </c>
      <c r="AG19" s="16" t="n">
        <v>15036591</v>
      </c>
      <c r="AH19" s="16" t="n">
        <v>15037363</v>
      </c>
      <c r="AI19" s="8"/>
    </row>
    <row r="20" customFormat="false" ht="16.4" hidden="false" customHeight="false" outlineLevel="0" collapsed="false">
      <c r="B20" s="9"/>
      <c r="C20" s="14"/>
      <c r="D20" s="15" t="s">
        <v>26</v>
      </c>
      <c r="E20" s="16" t="n">
        <v>106077</v>
      </c>
      <c r="F20" s="16" t="n">
        <v>54710</v>
      </c>
      <c r="G20" s="16" t="n">
        <v>31894</v>
      </c>
      <c r="H20" s="16" t="n">
        <v>21082</v>
      </c>
      <c r="I20" s="16" t="n">
        <v>21262</v>
      </c>
      <c r="J20" s="16" t="n">
        <v>23967</v>
      </c>
      <c r="K20" s="7"/>
      <c r="L20" s="7"/>
      <c r="M20" s="16" t="n">
        <v>1515569</v>
      </c>
      <c r="N20" s="16" t="n">
        <v>722311</v>
      </c>
      <c r="O20" s="16" t="n">
        <v>362500</v>
      </c>
      <c r="P20" s="16" t="n">
        <v>315232</v>
      </c>
      <c r="Q20" s="16" t="n">
        <v>220526</v>
      </c>
      <c r="R20" s="16" t="n">
        <v>289656</v>
      </c>
      <c r="S20" s="7"/>
      <c r="T20" s="7"/>
      <c r="U20" s="16" t="n">
        <v>4358283</v>
      </c>
      <c r="V20" s="16" t="n">
        <v>2564797</v>
      </c>
      <c r="W20" s="16" t="n">
        <v>1253283</v>
      </c>
      <c r="X20" s="16" t="n">
        <v>670842</v>
      </c>
      <c r="Y20" s="16" t="n">
        <v>697687</v>
      </c>
      <c r="Z20" s="16" t="n">
        <v>1192842</v>
      </c>
      <c r="AA20" s="7"/>
      <c r="AB20" s="7"/>
      <c r="AC20" s="16" t="n">
        <v>117204785</v>
      </c>
      <c r="AD20" s="16" t="n">
        <v>53249092</v>
      </c>
      <c r="AE20" s="16" t="n">
        <v>26270826</v>
      </c>
      <c r="AF20" s="16" t="n">
        <v>17861627</v>
      </c>
      <c r="AG20" s="16" t="n">
        <v>15134399</v>
      </c>
      <c r="AH20" s="16" t="n">
        <v>13905824</v>
      </c>
      <c r="AI20" s="8"/>
    </row>
    <row r="21" customFormat="false" ht="16.4" hidden="false" customHeight="false" outlineLevel="0" collapsed="false">
      <c r="B21" s="9"/>
      <c r="C21" s="14"/>
      <c r="D21" s="15" t="s">
        <v>27</v>
      </c>
      <c r="E21" s="16" t="n">
        <v>104705</v>
      </c>
      <c r="F21" s="16" t="n">
        <v>57204</v>
      </c>
      <c r="G21" s="16" t="n">
        <v>30480</v>
      </c>
      <c r="H21" s="16" t="n">
        <v>19685</v>
      </c>
      <c r="I21" s="16" t="n">
        <v>21121</v>
      </c>
      <c r="J21" s="16" t="n">
        <v>22598</v>
      </c>
      <c r="K21" s="7"/>
      <c r="L21" s="7"/>
      <c r="M21" s="16" t="n">
        <v>1494733</v>
      </c>
      <c r="N21" s="16" t="n">
        <v>715459</v>
      </c>
      <c r="O21" s="16" t="n">
        <v>426097</v>
      </c>
      <c r="P21" s="16" t="n">
        <v>243428</v>
      </c>
      <c r="Q21" s="16" t="n">
        <v>254249</v>
      </c>
      <c r="R21" s="16" t="n">
        <v>283860</v>
      </c>
      <c r="S21" s="7"/>
      <c r="T21" s="7"/>
      <c r="U21" s="16" t="n">
        <v>4349197</v>
      </c>
      <c r="V21" s="16" t="n">
        <v>2478292</v>
      </c>
      <c r="W21" s="16" t="n">
        <v>1306332</v>
      </c>
      <c r="X21" s="16" t="n">
        <v>707921</v>
      </c>
      <c r="Y21" s="16" t="n">
        <v>694683</v>
      </c>
      <c r="Z21" s="16" t="n">
        <v>1228308</v>
      </c>
      <c r="AA21" s="7"/>
      <c r="AB21" s="7"/>
      <c r="AC21" s="16" t="n">
        <v>121084264</v>
      </c>
      <c r="AD21" s="16" t="n">
        <v>53664745</v>
      </c>
      <c r="AE21" s="16" t="n">
        <v>27069716</v>
      </c>
      <c r="AF21" s="16" t="n">
        <v>17246221</v>
      </c>
      <c r="AG21" s="16" t="n">
        <v>14683135</v>
      </c>
      <c r="AH21" s="16" t="n">
        <v>14058326</v>
      </c>
      <c r="AI21" s="8"/>
    </row>
    <row r="22" customFormat="false" ht="16.4" hidden="false" customHeight="false" outlineLevel="0" collapsed="false">
      <c r="B22" s="9"/>
      <c r="C22" s="14"/>
      <c r="D22" s="15" t="s">
        <v>28</v>
      </c>
      <c r="E22" s="16" t="n">
        <v>104289</v>
      </c>
      <c r="F22" s="16" t="n">
        <v>55983</v>
      </c>
      <c r="G22" s="16" t="n">
        <v>35546</v>
      </c>
      <c r="H22" s="16" t="n">
        <v>21664</v>
      </c>
      <c r="I22" s="16" t="n">
        <v>15659</v>
      </c>
      <c r="J22" s="16" t="n">
        <v>23664</v>
      </c>
      <c r="K22" s="7"/>
      <c r="L22" s="7"/>
      <c r="M22" s="16" t="n">
        <v>1515192</v>
      </c>
      <c r="N22" s="16" t="n">
        <v>719776</v>
      </c>
      <c r="O22" s="16" t="n">
        <v>507571</v>
      </c>
      <c r="P22" s="16" t="n">
        <v>269324</v>
      </c>
      <c r="Q22" s="16" t="n">
        <v>256514</v>
      </c>
      <c r="R22" s="16" t="n">
        <v>283574</v>
      </c>
      <c r="S22" s="7"/>
      <c r="T22" s="7"/>
      <c r="U22" s="16" t="n">
        <v>4356026</v>
      </c>
      <c r="V22" s="16" t="n">
        <v>2486126</v>
      </c>
      <c r="W22" s="16" t="n">
        <v>1246513</v>
      </c>
      <c r="X22" s="16" t="n">
        <v>687040</v>
      </c>
      <c r="Y22" s="16" t="n">
        <v>696620</v>
      </c>
      <c r="Z22" s="16" t="n">
        <v>1256110</v>
      </c>
      <c r="AA22" s="7"/>
      <c r="AB22" s="7"/>
      <c r="AC22" s="16" t="n">
        <v>115536313</v>
      </c>
      <c r="AD22" s="16" t="n">
        <v>51916222</v>
      </c>
      <c r="AE22" s="16" t="n">
        <v>26176926</v>
      </c>
      <c r="AF22" s="16" t="n">
        <v>16844971</v>
      </c>
      <c r="AG22" s="16" t="n">
        <v>15188663</v>
      </c>
      <c r="AH22" s="16" t="n">
        <v>14667480</v>
      </c>
      <c r="AI22" s="8"/>
    </row>
    <row r="23" customFormat="false" ht="16.4" hidden="false" customHeight="false" outlineLevel="0" collapsed="false">
      <c r="B23" s="9"/>
      <c r="C23" s="14"/>
      <c r="D23" s="15" t="s">
        <v>29</v>
      </c>
      <c r="E23" s="16" t="n">
        <v>105455</v>
      </c>
      <c r="F23" s="16" t="n">
        <v>56365</v>
      </c>
      <c r="G23" s="16" t="n">
        <v>32381</v>
      </c>
      <c r="H23" s="16" t="n">
        <v>20504</v>
      </c>
      <c r="I23" s="16" t="n">
        <v>22045</v>
      </c>
      <c r="J23" s="16" t="n">
        <v>24512</v>
      </c>
      <c r="K23" s="7"/>
      <c r="L23" s="7"/>
      <c r="M23" s="16" t="n">
        <v>1510419</v>
      </c>
      <c r="N23" s="16" t="n">
        <v>722079</v>
      </c>
      <c r="O23" s="16" t="n">
        <v>487804</v>
      </c>
      <c r="P23" s="16" t="n">
        <v>264126</v>
      </c>
      <c r="Q23" s="16" t="n">
        <v>220395</v>
      </c>
      <c r="R23" s="16" t="n">
        <v>291146</v>
      </c>
      <c r="S23" s="7"/>
      <c r="T23" s="7"/>
      <c r="U23" s="16" t="n">
        <v>4267983</v>
      </c>
      <c r="V23" s="16" t="n">
        <v>2506644</v>
      </c>
      <c r="W23" s="16" t="n">
        <v>1260196</v>
      </c>
      <c r="X23" s="16" t="n">
        <v>668890</v>
      </c>
      <c r="Y23" s="16" t="n">
        <v>690657</v>
      </c>
      <c r="Z23" s="16" t="n">
        <v>1187727</v>
      </c>
      <c r="AA23" s="7"/>
      <c r="AB23" s="7"/>
      <c r="AC23" s="16" t="n">
        <v>108674878</v>
      </c>
      <c r="AD23" s="16" t="n">
        <v>51505320</v>
      </c>
      <c r="AE23" s="16" t="n">
        <v>26793199</v>
      </c>
      <c r="AF23" s="16" t="n">
        <v>17723589</v>
      </c>
      <c r="AG23" s="16" t="n">
        <v>13946319</v>
      </c>
      <c r="AH23" s="16" t="n">
        <v>14611819</v>
      </c>
      <c r="AI23" s="8"/>
    </row>
    <row r="24" customFormat="false" ht="16.4" hidden="false" customHeight="false" outlineLevel="0" collapsed="false">
      <c r="B24" s="9"/>
      <c r="C24" s="14"/>
      <c r="D24" s="15" t="s">
        <v>30</v>
      </c>
      <c r="E24" s="16" t="n">
        <v>99915</v>
      </c>
      <c r="F24" s="16" t="n">
        <v>53680</v>
      </c>
      <c r="G24" s="16" t="n">
        <v>28309</v>
      </c>
      <c r="H24" s="16" t="n">
        <v>19516</v>
      </c>
      <c r="I24" s="16" t="n">
        <v>23142</v>
      </c>
      <c r="J24" s="16" t="n">
        <v>22028</v>
      </c>
      <c r="K24" s="7"/>
      <c r="L24" s="7"/>
      <c r="M24" s="16" t="n">
        <v>1516351</v>
      </c>
      <c r="N24" s="16" t="n">
        <v>727909</v>
      </c>
      <c r="O24" s="16" t="n">
        <v>468806</v>
      </c>
      <c r="P24" s="16" t="n">
        <v>234347</v>
      </c>
      <c r="Q24" s="16" t="n">
        <v>256695</v>
      </c>
      <c r="R24" s="16" t="n">
        <v>278979</v>
      </c>
      <c r="S24" s="7"/>
      <c r="T24" s="7"/>
      <c r="U24" s="16" t="n">
        <v>4275651</v>
      </c>
      <c r="V24" s="16" t="n">
        <v>2466480</v>
      </c>
      <c r="W24" s="16" t="n">
        <v>1238234</v>
      </c>
      <c r="X24" s="16" t="n">
        <v>677055</v>
      </c>
      <c r="Y24" s="16" t="n">
        <v>685142</v>
      </c>
      <c r="Z24" s="16" t="n">
        <v>1188403</v>
      </c>
      <c r="AA24" s="7"/>
      <c r="AB24" s="7"/>
      <c r="AC24" s="16" t="n">
        <v>111188924</v>
      </c>
      <c r="AD24" s="16" t="n">
        <v>50714272</v>
      </c>
      <c r="AE24" s="16" t="n">
        <v>27285792</v>
      </c>
      <c r="AF24" s="16" t="n">
        <v>17525597</v>
      </c>
      <c r="AG24" s="16" t="n">
        <v>14186253</v>
      </c>
      <c r="AH24" s="16" t="n">
        <v>13554267</v>
      </c>
      <c r="AI24" s="8"/>
    </row>
    <row r="25" customFormat="false" ht="16.4" hidden="false" customHeight="false" outlineLevel="0" collapsed="false">
      <c r="B25" s="9"/>
      <c r="C25" s="14"/>
      <c r="D25" s="15" t="s">
        <v>31</v>
      </c>
      <c r="E25" s="16" t="n">
        <v>99867</v>
      </c>
      <c r="F25" s="16" t="n">
        <v>58195</v>
      </c>
      <c r="G25" s="16" t="n">
        <v>30619</v>
      </c>
      <c r="H25" s="16" t="n">
        <v>20386</v>
      </c>
      <c r="I25" s="16" t="n">
        <v>23559</v>
      </c>
      <c r="J25" s="16" t="n">
        <v>17443</v>
      </c>
      <c r="K25" s="7"/>
      <c r="L25" s="7"/>
      <c r="M25" s="16" t="n">
        <v>1511190</v>
      </c>
      <c r="N25" s="16" t="n">
        <v>733786</v>
      </c>
      <c r="O25" s="16" t="n">
        <v>477224</v>
      </c>
      <c r="P25" s="16" t="n">
        <v>246321</v>
      </c>
      <c r="Q25" s="16" t="n">
        <v>259584</v>
      </c>
      <c r="R25" s="16" t="n">
        <v>286593</v>
      </c>
      <c r="S25" s="7"/>
      <c r="T25" s="7"/>
      <c r="U25" s="16" t="n">
        <v>4405245</v>
      </c>
      <c r="V25" s="16" t="n">
        <v>2474575</v>
      </c>
      <c r="W25" s="16" t="n">
        <v>1243885</v>
      </c>
      <c r="X25" s="16" t="n">
        <v>688976</v>
      </c>
      <c r="Y25" s="16" t="n">
        <v>680691</v>
      </c>
      <c r="Z25" s="16" t="n">
        <v>1171396</v>
      </c>
      <c r="AA25" s="7"/>
      <c r="AB25" s="7"/>
      <c r="AC25" s="16" t="n">
        <v>105654435</v>
      </c>
      <c r="AD25" s="16" t="n">
        <v>53549993</v>
      </c>
      <c r="AE25" s="16" t="n">
        <v>26745103</v>
      </c>
      <c r="AF25" s="16" t="n">
        <v>19351808</v>
      </c>
      <c r="AG25" s="16" t="n">
        <v>15022021</v>
      </c>
      <c r="AH25" s="16" t="n">
        <v>14600518</v>
      </c>
      <c r="AI25" s="8"/>
    </row>
    <row r="26" customFormat="false" ht="16.4" hidden="false" customHeight="false" outlineLevel="0" collapsed="false">
      <c r="B26" s="9"/>
      <c r="C26" s="14"/>
      <c r="D26" s="15" t="s">
        <v>32</v>
      </c>
      <c r="E26" s="16" t="n">
        <v>106702</v>
      </c>
      <c r="F26" s="16" t="n">
        <v>53634</v>
      </c>
      <c r="G26" s="16" t="n">
        <v>33856</v>
      </c>
      <c r="H26" s="16" t="n">
        <v>21697</v>
      </c>
      <c r="I26" s="16" t="n">
        <v>21242</v>
      </c>
      <c r="J26" s="16" t="n">
        <v>19311</v>
      </c>
      <c r="K26" s="7"/>
      <c r="L26" s="7"/>
      <c r="M26" s="16" t="n">
        <v>1611757</v>
      </c>
      <c r="N26" s="16" t="n">
        <v>744067</v>
      </c>
      <c r="O26" s="16" t="n">
        <v>459661</v>
      </c>
      <c r="P26" s="16" t="n">
        <v>289211</v>
      </c>
      <c r="Q26" s="16" t="n">
        <v>235055</v>
      </c>
      <c r="R26" s="16" t="n">
        <v>281580</v>
      </c>
      <c r="S26" s="7"/>
      <c r="T26" s="7"/>
      <c r="U26" s="16" t="n">
        <v>4371681</v>
      </c>
      <c r="V26" s="16" t="n">
        <v>2510094</v>
      </c>
      <c r="W26" s="16" t="n">
        <v>1249221</v>
      </c>
      <c r="X26" s="16" t="n">
        <v>681956</v>
      </c>
      <c r="Y26" s="16" t="n">
        <v>679045</v>
      </c>
      <c r="Z26" s="16" t="n">
        <v>1166088</v>
      </c>
      <c r="AA26" s="7"/>
      <c r="AB26" s="7"/>
      <c r="AC26" s="16" t="n">
        <v>106285867</v>
      </c>
      <c r="AD26" s="16" t="n">
        <v>52402157</v>
      </c>
      <c r="AE26" s="16" t="n">
        <v>26088497</v>
      </c>
      <c r="AF26" s="16" t="n">
        <v>18133934</v>
      </c>
      <c r="AG26" s="16" t="n">
        <v>15143796</v>
      </c>
      <c r="AH26" s="16" t="n">
        <v>13959477</v>
      </c>
      <c r="AI26" s="8"/>
    </row>
    <row r="27" customFormat="false" ht="16.4" hidden="false" customHeight="false" outlineLevel="0" collapsed="false">
      <c r="B27" s="9"/>
      <c r="C27" s="14"/>
      <c r="D27" s="15" t="s">
        <v>33</v>
      </c>
      <c r="E27" s="16" t="n">
        <v>104206</v>
      </c>
      <c r="F27" s="16" t="n">
        <v>57447</v>
      </c>
      <c r="G27" s="16" t="n">
        <v>33769</v>
      </c>
      <c r="H27" s="16" t="n">
        <v>20774</v>
      </c>
      <c r="I27" s="16" t="n">
        <v>22507</v>
      </c>
      <c r="J27" s="16" t="n">
        <v>23926</v>
      </c>
      <c r="K27" s="7"/>
      <c r="L27" s="7"/>
      <c r="M27" s="16" t="n">
        <v>1716461</v>
      </c>
      <c r="N27" s="16" t="n">
        <v>754560</v>
      </c>
      <c r="O27" s="16" t="n">
        <v>442795</v>
      </c>
      <c r="P27" s="16" t="n">
        <v>288150</v>
      </c>
      <c r="Q27" s="16" t="n">
        <v>253084</v>
      </c>
      <c r="R27" s="16" t="n">
        <v>284130</v>
      </c>
      <c r="S27" s="7"/>
      <c r="T27" s="7"/>
      <c r="U27" s="16" t="n">
        <v>4272164</v>
      </c>
      <c r="V27" s="16" t="n">
        <v>2761888</v>
      </c>
      <c r="W27" s="16" t="n">
        <v>1208780</v>
      </c>
      <c r="X27" s="16" t="n">
        <v>669508</v>
      </c>
      <c r="Y27" s="16" t="n">
        <v>683684</v>
      </c>
      <c r="Z27" s="16" t="n">
        <v>1180751</v>
      </c>
      <c r="AA27" s="7"/>
      <c r="AB27" s="7"/>
      <c r="AC27" s="16" t="n">
        <v>108062590</v>
      </c>
      <c r="AD27" s="16" t="n">
        <v>55669016</v>
      </c>
      <c r="AE27" s="16" t="n">
        <v>28890423</v>
      </c>
      <c r="AF27" s="16" t="n">
        <v>17680023</v>
      </c>
      <c r="AG27" s="16" t="n">
        <v>15046755</v>
      </c>
      <c r="AH27" s="16" t="n">
        <v>13855474</v>
      </c>
      <c r="AI27" s="8"/>
    </row>
    <row r="28" customFormat="false" ht="16.4" hidden="false" customHeight="false" outlineLevel="0" collapsed="false">
      <c r="B28" s="9"/>
      <c r="C28" s="14"/>
      <c r="D28" s="15" t="s">
        <v>34</v>
      </c>
      <c r="E28" s="16" t="n">
        <v>107162</v>
      </c>
      <c r="F28" s="16" t="n">
        <v>54275</v>
      </c>
      <c r="G28" s="16" t="n">
        <v>32597</v>
      </c>
      <c r="H28" s="16" t="n">
        <v>19786</v>
      </c>
      <c r="I28" s="16" t="n">
        <v>20189</v>
      </c>
      <c r="J28" s="16" t="n">
        <v>26728</v>
      </c>
      <c r="K28" s="7"/>
      <c r="L28" s="7"/>
      <c r="M28" s="16" t="n">
        <v>1506470</v>
      </c>
      <c r="N28" s="16" t="n">
        <v>750902</v>
      </c>
      <c r="O28" s="16" t="n">
        <v>428220</v>
      </c>
      <c r="P28" s="16" t="n">
        <v>303737</v>
      </c>
      <c r="Q28" s="16" t="n">
        <v>260536</v>
      </c>
      <c r="R28" s="16" t="n">
        <v>288143</v>
      </c>
      <c r="S28" s="7"/>
      <c r="T28" s="7"/>
      <c r="U28" s="16" t="n">
        <v>4364919</v>
      </c>
      <c r="V28" s="16" t="n">
        <v>2412933</v>
      </c>
      <c r="W28" s="16" t="n">
        <v>1236400</v>
      </c>
      <c r="X28" s="16" t="n">
        <v>639274</v>
      </c>
      <c r="Y28" s="16" t="n">
        <v>676160</v>
      </c>
      <c r="Z28" s="16" t="n">
        <v>1166210</v>
      </c>
      <c r="AA28" s="7"/>
      <c r="AB28" s="7"/>
      <c r="AC28" s="16" t="n">
        <v>112873718</v>
      </c>
      <c r="AD28" s="16" t="n">
        <v>53047659</v>
      </c>
      <c r="AE28" s="16" t="n">
        <v>26027275</v>
      </c>
      <c r="AF28" s="16" t="n">
        <v>17975287</v>
      </c>
      <c r="AG28" s="16" t="n">
        <v>14820252</v>
      </c>
      <c r="AH28" s="16" t="n">
        <v>14619958</v>
      </c>
      <c r="AI28" s="8"/>
    </row>
    <row r="29" customFormat="false" ht="16.4" hidden="false" customHeight="false" outlineLevel="0" collapsed="false">
      <c r="B29" s="9"/>
      <c r="C29" s="14"/>
      <c r="D29" s="15" t="s">
        <v>35</v>
      </c>
      <c r="E29" s="16" t="n">
        <v>104208</v>
      </c>
      <c r="F29" s="16" t="n">
        <v>54223</v>
      </c>
      <c r="G29" s="16" t="n">
        <v>33526</v>
      </c>
      <c r="H29" s="16" t="n">
        <v>19705</v>
      </c>
      <c r="I29" s="16" t="n">
        <v>19139</v>
      </c>
      <c r="J29" s="16" t="n">
        <v>24398</v>
      </c>
      <c r="K29" s="7"/>
      <c r="L29" s="7"/>
      <c r="M29" s="16" t="n">
        <v>1579285</v>
      </c>
      <c r="N29" s="16" t="n">
        <v>776851</v>
      </c>
      <c r="O29" s="16" t="n">
        <v>353711</v>
      </c>
      <c r="P29" s="16" t="n">
        <v>268837</v>
      </c>
      <c r="Q29" s="16" t="n">
        <v>245329</v>
      </c>
      <c r="R29" s="16" t="n">
        <v>269367</v>
      </c>
      <c r="S29" s="7"/>
      <c r="T29" s="7"/>
      <c r="U29" s="16" t="n">
        <v>4409804</v>
      </c>
      <c r="V29" s="16" t="n">
        <v>2473322</v>
      </c>
      <c r="W29" s="16" t="n">
        <v>1246203</v>
      </c>
      <c r="X29" s="16" t="n">
        <v>685234</v>
      </c>
      <c r="Y29" s="16" t="n">
        <v>686430</v>
      </c>
      <c r="Z29" s="16" t="n">
        <v>1164048</v>
      </c>
      <c r="AA29" s="7"/>
      <c r="AB29" s="7"/>
      <c r="AC29" s="16" t="n">
        <v>115496351</v>
      </c>
      <c r="AD29" s="16" t="n">
        <v>53114419</v>
      </c>
      <c r="AE29" s="16" t="n">
        <v>26884258</v>
      </c>
      <c r="AF29" s="16" t="n">
        <v>18046327</v>
      </c>
      <c r="AG29" s="16" t="n">
        <v>14825768</v>
      </c>
      <c r="AH29" s="16" t="n">
        <v>14470250</v>
      </c>
      <c r="AI29" s="8"/>
    </row>
    <row r="30" customFormat="false" ht="16.4" hidden="false" customHeight="false" outlineLevel="0" collapsed="false">
      <c r="B30" s="9"/>
      <c r="C30" s="14"/>
      <c r="D30" s="15" t="s">
        <v>36</v>
      </c>
      <c r="E30" s="16" t="n">
        <v>105249</v>
      </c>
      <c r="F30" s="16" t="n">
        <v>55309</v>
      </c>
      <c r="G30" s="16" t="n">
        <v>30645</v>
      </c>
      <c r="H30" s="16" t="n">
        <v>21961</v>
      </c>
      <c r="I30" s="16" t="n">
        <v>18801</v>
      </c>
      <c r="J30" s="16" t="n">
        <v>21406</v>
      </c>
      <c r="K30" s="7"/>
      <c r="L30" s="7"/>
      <c r="M30" s="16" t="n">
        <v>1550784</v>
      </c>
      <c r="N30" s="16" t="n">
        <v>785690</v>
      </c>
      <c r="O30" s="16" t="n">
        <v>355414</v>
      </c>
      <c r="P30" s="16" t="n">
        <v>302134</v>
      </c>
      <c r="Q30" s="16" t="n">
        <v>259106</v>
      </c>
      <c r="R30" s="16" t="n">
        <v>280006</v>
      </c>
      <c r="S30" s="7"/>
      <c r="T30" s="7"/>
      <c r="U30" s="16" t="n">
        <v>4244648</v>
      </c>
      <c r="V30" s="16" t="n">
        <v>2892016</v>
      </c>
      <c r="W30" s="16" t="n">
        <v>1374493</v>
      </c>
      <c r="X30" s="16" t="n">
        <v>664890</v>
      </c>
      <c r="Y30" s="16" t="n">
        <v>675276</v>
      </c>
      <c r="Z30" s="16" t="n">
        <v>1165266</v>
      </c>
      <c r="AA30" s="7"/>
      <c r="AB30" s="7"/>
      <c r="AC30" s="16" t="n">
        <v>110671211</v>
      </c>
      <c r="AD30" s="16" t="n">
        <v>53124600</v>
      </c>
      <c r="AE30" s="16" t="n">
        <v>27440948</v>
      </c>
      <c r="AF30" s="16" t="n">
        <v>17857981</v>
      </c>
      <c r="AG30" s="16" t="n">
        <v>15310122</v>
      </c>
      <c r="AH30" s="16" t="n">
        <v>14556138</v>
      </c>
      <c r="AI30" s="8"/>
    </row>
    <row r="31" customFormat="false" ht="16.4" hidden="false" customHeight="false" outlineLevel="0" collapsed="false">
      <c r="B31" s="9"/>
      <c r="C31" s="14"/>
      <c r="D31" s="15" t="s">
        <v>37</v>
      </c>
      <c r="E31" s="16" t="n">
        <v>103978</v>
      </c>
      <c r="F31" s="16" t="n">
        <v>53544</v>
      </c>
      <c r="G31" s="16" t="n">
        <v>29796</v>
      </c>
      <c r="H31" s="16" t="n">
        <v>19739</v>
      </c>
      <c r="I31" s="16" t="n">
        <v>22639</v>
      </c>
      <c r="J31" s="16" t="n">
        <v>26240</v>
      </c>
      <c r="K31" s="7"/>
      <c r="L31" s="7"/>
      <c r="M31" s="16" t="n">
        <v>1419952</v>
      </c>
      <c r="N31" s="16" t="n">
        <v>797025</v>
      </c>
      <c r="O31" s="16" t="n">
        <v>361150</v>
      </c>
      <c r="P31" s="16" t="n">
        <v>295164</v>
      </c>
      <c r="Q31" s="16" t="n">
        <v>272780</v>
      </c>
      <c r="R31" s="16" t="n">
        <v>277347</v>
      </c>
      <c r="S31" s="7"/>
      <c r="T31" s="7"/>
      <c r="U31" s="16" t="n">
        <v>4283088</v>
      </c>
      <c r="V31" s="16" t="n">
        <v>2463183</v>
      </c>
      <c r="W31" s="16" t="n">
        <v>1276229</v>
      </c>
      <c r="X31" s="16" t="n">
        <v>703879</v>
      </c>
      <c r="Y31" s="16" t="n">
        <v>683795</v>
      </c>
      <c r="Z31" s="16" t="n">
        <v>1167832</v>
      </c>
      <c r="AA31" s="7"/>
      <c r="AB31" s="7"/>
      <c r="AC31" s="16" t="n">
        <v>114200632</v>
      </c>
      <c r="AD31" s="16" t="n">
        <v>52862213</v>
      </c>
      <c r="AE31" s="16" t="n">
        <v>26829169</v>
      </c>
      <c r="AF31" s="16" t="n">
        <v>17620872</v>
      </c>
      <c r="AG31" s="16" t="n">
        <v>14790720</v>
      </c>
      <c r="AH31" s="16" t="n">
        <v>14181991</v>
      </c>
      <c r="AI31" s="8"/>
    </row>
    <row r="32" customFormat="false" ht="16.4" hidden="false" customHeight="false" outlineLevel="0" collapsed="false">
      <c r="B32" s="9"/>
      <c r="C32" s="14"/>
      <c r="D32" s="15" t="s">
        <v>38</v>
      </c>
      <c r="E32" s="16" t="n">
        <v>104751</v>
      </c>
      <c r="F32" s="16" t="n">
        <v>56776</v>
      </c>
      <c r="G32" s="16" t="n">
        <v>30679</v>
      </c>
      <c r="H32" s="16" t="n">
        <v>24003</v>
      </c>
      <c r="I32" s="16" t="n">
        <v>15793</v>
      </c>
      <c r="J32" s="16" t="n">
        <v>26653</v>
      </c>
      <c r="K32" s="7"/>
      <c r="L32" s="7"/>
      <c r="M32" s="16" t="n">
        <v>1405018</v>
      </c>
      <c r="N32" s="16" t="n">
        <v>726837</v>
      </c>
      <c r="O32" s="16" t="n">
        <v>355358</v>
      </c>
      <c r="P32" s="16" t="n">
        <v>255717</v>
      </c>
      <c r="Q32" s="16" t="n">
        <v>249857</v>
      </c>
      <c r="R32" s="16" t="n">
        <v>294179</v>
      </c>
      <c r="S32" s="7"/>
      <c r="T32" s="7"/>
      <c r="U32" s="16" t="n">
        <v>4334589</v>
      </c>
      <c r="V32" s="16" t="n">
        <v>2466678</v>
      </c>
      <c r="W32" s="16" t="n">
        <v>1224558</v>
      </c>
      <c r="X32" s="16" t="n">
        <v>711015</v>
      </c>
      <c r="Y32" s="16" t="n">
        <v>683386</v>
      </c>
      <c r="Z32" s="16" t="n">
        <v>1184312</v>
      </c>
      <c r="AA32" s="7"/>
      <c r="AB32" s="7"/>
      <c r="AC32" s="16" t="n">
        <v>112234427</v>
      </c>
      <c r="AD32" s="16" t="n">
        <v>53591063</v>
      </c>
      <c r="AE32" s="16" t="n">
        <v>26583977</v>
      </c>
      <c r="AF32" s="16" t="n">
        <v>18530137</v>
      </c>
      <c r="AG32" s="16" t="n">
        <v>14923053</v>
      </c>
      <c r="AH32" s="16" t="n">
        <v>13824106</v>
      </c>
      <c r="AI32" s="8"/>
    </row>
    <row r="33" customFormat="false" ht="16.4" hidden="false" customHeight="false" outlineLevel="0" collapsed="false">
      <c r="B33" s="9"/>
      <c r="C33" s="14"/>
      <c r="D33" s="15" t="s">
        <v>39</v>
      </c>
      <c r="E33" s="16" t="n">
        <v>104024</v>
      </c>
      <c r="F33" s="16" t="n">
        <v>53432</v>
      </c>
      <c r="G33" s="16" t="n">
        <v>29633</v>
      </c>
      <c r="H33" s="16" t="n">
        <v>21799</v>
      </c>
      <c r="I33" s="16" t="n">
        <v>15890</v>
      </c>
      <c r="J33" s="16" t="n">
        <v>24420</v>
      </c>
      <c r="K33" s="7"/>
      <c r="L33" s="7"/>
      <c r="M33" s="16" t="n">
        <v>1365614</v>
      </c>
      <c r="N33" s="16" t="n">
        <v>707675</v>
      </c>
      <c r="O33" s="16" t="n">
        <v>353785</v>
      </c>
      <c r="P33" s="16" t="n">
        <v>197670</v>
      </c>
      <c r="Q33" s="16" t="n">
        <v>256155</v>
      </c>
      <c r="R33" s="16" t="n">
        <v>275523</v>
      </c>
      <c r="S33" s="7"/>
      <c r="T33" s="7"/>
      <c r="U33" s="16" t="n">
        <v>4464856</v>
      </c>
      <c r="V33" s="16" t="n">
        <v>2497372</v>
      </c>
      <c r="W33" s="16" t="n">
        <v>1214119</v>
      </c>
      <c r="X33" s="16" t="n">
        <v>711293</v>
      </c>
      <c r="Y33" s="16" t="n">
        <v>748025</v>
      </c>
      <c r="Z33" s="16" t="n">
        <v>1182629</v>
      </c>
      <c r="AA33" s="7"/>
      <c r="AB33" s="7"/>
      <c r="AC33" s="16" t="n">
        <v>114850970</v>
      </c>
      <c r="AD33" s="16" t="n">
        <v>53991782</v>
      </c>
      <c r="AE33" s="16" t="n">
        <v>26936912</v>
      </c>
      <c r="AF33" s="16" t="n">
        <v>21017283</v>
      </c>
      <c r="AG33" s="16" t="n">
        <v>15867719</v>
      </c>
      <c r="AH33" s="16" t="n">
        <v>15916368</v>
      </c>
      <c r="AI33" s="8"/>
    </row>
    <row r="34" customFormat="false" ht="16.4" hidden="false" customHeight="false" outlineLevel="0" collapsed="false">
      <c r="B34" s="9"/>
      <c r="C34" s="14"/>
      <c r="D34" s="15" t="s">
        <v>40</v>
      </c>
      <c r="E34" s="16" t="n">
        <v>106082</v>
      </c>
      <c r="F34" s="16" t="n">
        <v>54714</v>
      </c>
      <c r="G34" s="16" t="n">
        <v>29895</v>
      </c>
      <c r="H34" s="16" t="n">
        <v>21709</v>
      </c>
      <c r="I34" s="16" t="n">
        <v>16152</v>
      </c>
      <c r="J34" s="16" t="n">
        <v>24921</v>
      </c>
      <c r="K34" s="7"/>
      <c r="L34" s="7"/>
      <c r="M34" s="16" t="n">
        <v>1621443</v>
      </c>
      <c r="N34" s="16" t="n">
        <v>726540</v>
      </c>
      <c r="O34" s="16" t="n">
        <v>362680</v>
      </c>
      <c r="P34" s="16" t="n">
        <v>216133</v>
      </c>
      <c r="Q34" s="16" t="n">
        <v>252849</v>
      </c>
      <c r="R34" s="16" t="n">
        <v>271384</v>
      </c>
      <c r="S34" s="7"/>
      <c r="T34" s="7"/>
      <c r="U34" s="16" t="n">
        <v>4423364</v>
      </c>
      <c r="V34" s="16" t="n">
        <v>2624189</v>
      </c>
      <c r="W34" s="16" t="n">
        <v>1441752</v>
      </c>
      <c r="X34" s="16" t="n">
        <v>664676</v>
      </c>
      <c r="Y34" s="16" t="n">
        <v>675327</v>
      </c>
      <c r="Z34" s="16" t="n">
        <v>1185989</v>
      </c>
      <c r="AA34" s="7"/>
      <c r="AB34" s="7"/>
      <c r="AC34" s="16" t="n">
        <v>112992152</v>
      </c>
      <c r="AD34" s="16" t="n">
        <v>55941252</v>
      </c>
      <c r="AE34" s="16" t="n">
        <v>28083573</v>
      </c>
      <c r="AF34" s="16" t="n">
        <v>17342164</v>
      </c>
      <c r="AG34" s="16" t="n">
        <v>16587405</v>
      </c>
      <c r="AH34" s="16" t="n">
        <v>15306213</v>
      </c>
      <c r="AI34" s="8"/>
    </row>
    <row r="35" customFormat="false" ht="14.25" hidden="false" customHeight="false" outlineLevel="0" collapsed="false">
      <c r="B35" s="9"/>
      <c r="C35" s="18"/>
      <c r="D35" s="19" t="s">
        <v>41</v>
      </c>
      <c r="E35" s="20" t="n">
        <f aca="false" t="array" ref="E35:E35">ROUND(AVERAGE(IF((ISNUMBER(E5:E34))*(E5:E34&lt;LARGE(E5:E34,2))*(E5:E34&gt;SMALL(E5:E34,2)),E5:E34)),0)</f>
        <v>104680</v>
      </c>
      <c r="F35" s="20" t="n">
        <f aca="false" t="array" ref="F35:F35">ROUND(AVERAGE(IF((ISNUMBER(F5:F34))*(F5:F34&lt;LARGE(F5:F34,2))*(F5:F34&gt;SMALL(F5:F34,2)),F5:F34)),0)</f>
        <v>55872</v>
      </c>
      <c r="G35" s="20" t="n">
        <f aca="false" t="array" ref="G35:G35">ROUND(AVERAGE(IF((ISNUMBER(G5:G34))*(G5:G34&lt;LARGE(G5:G34,2))*(G5:G34&gt;SMALL(G5:G34,2)),G5:G34)),0)</f>
        <v>32364</v>
      </c>
      <c r="H35" s="20" t="n">
        <f aca="false" t="array" ref="H35:H35">ROUND(AVERAGE(IF((ISNUMBER(H5:H34))*(H5:H34&lt;LARGE(H5:H34,2))*(H5:H34&gt;SMALL(H5:H34,2)),H5:H34)),0)</f>
        <v>20691</v>
      </c>
      <c r="I35" s="20" t="n">
        <f aca="false" t="array" ref="I35:I35">ROUND(AVERAGE(IF((ISNUMBER(I5:I34))*(I5:I34&lt;LARGE(I5:I34,2))*(I5:I34&gt;SMALL(I5:I34,2)),I5:I34)),0)</f>
        <v>20620</v>
      </c>
      <c r="J35" s="20" t="n">
        <f aca="false" t="array" ref="J35:J35">ROUND(AVERAGE(IF((ISNUMBER(J5:J34))*(J5:J34&lt;LARGE(J5:J34,2))*(J5:J34&gt;SMALL(J5:J34,2)),J5:J34)),0)</f>
        <v>23785</v>
      </c>
      <c r="K35" s="20"/>
      <c r="L35" s="20"/>
      <c r="M35" s="20" t="n">
        <f aca="false" t="array" ref="M35:M35">ROUND(AVERAGE(IF((ISNUMBER(M5:M34))*(M5:M34&lt;LARGE(M5:M34,2))*(M5:M34&gt;SMALL(M5:M34,2)),M5:M34)),0)</f>
        <v>1521100</v>
      </c>
      <c r="N35" s="20" t="n">
        <f aca="false" t="array" ref="N35:N35">ROUND(AVERAGE(IF((ISNUMBER(N5:N34))*(N5:N34&lt;LARGE(N5:N34,2))*(N5:N34&gt;SMALL(N5:N34,2)),N5:N34)),0)</f>
        <v>749871</v>
      </c>
      <c r="O35" s="20" t="n">
        <f aca="false" t="array" ref="O35:O35">ROUND(AVERAGE(IF((ISNUMBER(O5:O34))*(O5:O34&lt;LARGE(O5:O34,2))*(O5:O34&gt;SMALL(O5:O34,2)),O5:O34)),0)</f>
        <v>383876</v>
      </c>
      <c r="P35" s="20" t="n">
        <f aca="false" t="array" ref="P35:P35">ROUND(AVERAGE(IF((ISNUMBER(P5:P34))*(P5:P34&lt;LARGE(P5:P34,2))*(P5:P34&gt;SMALL(P5:P34,2)),P5:P34)),0)</f>
        <v>270012</v>
      </c>
      <c r="Q35" s="20" t="n">
        <f aca="false" t="array" ref="Q35:Q35">ROUND(AVERAGE(IF((ISNUMBER(Q5:Q34))*(Q5:Q34&lt;LARGE(Q5:Q34,2))*(Q5:Q34&gt;SMALL(Q5:Q34,2)),Q5:Q34)),0)</f>
        <v>231602</v>
      </c>
      <c r="R35" s="20" t="n">
        <f aca="false" t="array" ref="R35:R35">ROUND(AVERAGE(IF((ISNUMBER(R5:R34))*(R5:R34&lt;LARGE(R5:R34,2))*(R5:R34&gt;SMALL(R5:R34,2)),R5:R34)),0)</f>
        <v>283263</v>
      </c>
      <c r="S35" s="20"/>
      <c r="T35" s="20"/>
      <c r="U35" s="20" t="n">
        <f aca="false" t="array" ref="U35:U35">ROUND(AVERAGE(IF((ISNUMBER(U5:U34))*(U5:U34&lt;LARGE(U5:U34,2))*(U5:U34&gt;SMALL(U5:U34,2)),U5:U34)),0)</f>
        <v>4350333</v>
      </c>
      <c r="V35" s="20" t="n">
        <f aca="false" t="array" ref="V35:V35">ROUND(AVERAGE(IF((ISNUMBER(V5:V34))*(V5:V34&lt;LARGE(V5:V34,2))*(V5:V34&gt;SMALL(V5:V34,2)),V5:V34)),0)</f>
        <v>2513862</v>
      </c>
      <c r="W35" s="20" t="n">
        <f aca="false" t="array" ref="W35:W35">ROUND(AVERAGE(IF((ISNUMBER(W5:W34))*(W5:W34&lt;LARGE(W5:W34,2))*(W5:W34&gt;SMALL(W5:W34,2)),W5:W34)),0)</f>
        <v>1266438</v>
      </c>
      <c r="X35" s="20" t="n">
        <f aca="false" t="array" ref="X35:X35">ROUND(AVERAGE(IF((ISNUMBER(X5:X34))*(X5:X34&lt;LARGE(X5:X34,2))*(X5:X34&gt;SMALL(X5:X34,2)),X5:X34)),0)</f>
        <v>681865</v>
      </c>
      <c r="Y35" s="20" t="n">
        <f aca="false" t="array" ref="Y35:Y35">ROUND(AVERAGE(IF((ISNUMBER(Y5:Y34))*(Y5:Y34&lt;LARGE(Y5:Y34,2))*(Y5:Y34&gt;SMALL(Y5:Y34,2)),Y5:Y34)),0)</f>
        <v>695559</v>
      </c>
      <c r="Z35" s="20" t="n">
        <f aca="false" t="array" ref="Z35:Z35">ROUND(AVERAGE(IF((ISNUMBER(Z5:Z34))*(Z5:Z34&lt;LARGE(Z5:Z34,2))*(Z5:Z34&gt;SMALL(Z5:Z34,2)),Z5:Z34)),0)</f>
        <v>1178110</v>
      </c>
      <c r="AA35" s="20"/>
      <c r="AB35" s="20"/>
      <c r="AC35" s="20" t="n">
        <f aca="false" t="array" ref="AC35:AC35">ROUND(AVERAGE(IF((ISNUMBER(AC5:AC34))*(AC5:AC34&lt;LARGE(AC5:AC34,2))*(AC5:AC34&gt;SMALL(AC5:AC34,2)),AC5:AC34)),0)</f>
        <v>112677887</v>
      </c>
      <c r="AD35" s="20" t="n">
        <f aca="false" t="array" ref="AD35:AD35">ROUND(AVERAGE(IF((ISNUMBER(AD5:AD34))*(AD5:AD34&lt;LARGE(AD5:AD34,2))*(AD5:AD34&gt;SMALL(AD5:AD34,2)),AD5:AD34)),0)</f>
        <v>53293998</v>
      </c>
      <c r="AE35" s="20" t="n">
        <f aca="false" t="array" ref="AE35:AE35">ROUND(AVERAGE(IF((ISNUMBER(AE5:AE34))*(AE5:AE34&lt;LARGE(AE5:AE34,2))*(AE5:AE34&gt;SMALL(AE5:AE34,2)),AE5:AE34)),0)</f>
        <v>26736938</v>
      </c>
      <c r="AF35" s="20" t="n">
        <f aca="false" t="array" ref="AF35:AF35">ROUND(AVERAGE(IF((ISNUMBER(AF5:AF34))*(AF5:AF34&lt;LARGE(AF5:AF34,2))*(AF5:AF34&gt;SMALL(AF5:AF34,2)),AF5:AF34)),0)</f>
        <v>17592098</v>
      </c>
      <c r="AG35" s="20" t="n">
        <f aca="false" t="array" ref="AG35:AG35">ROUND(AVERAGE(IF((ISNUMBER(AG5:AG34))*(AG5:AG34&lt;LARGE(AG5:AG34,2))*(AG5:AG34&gt;SMALL(AG5:AG34,2)),AG5:AG34)),0)</f>
        <v>14930953</v>
      </c>
      <c r="AH35" s="21" t="n">
        <f aca="false" t="array" ref="AH35:AH35">ROUND(AVERAGE(IF((ISNUMBER(AH5:AH34))*(AH5:AH34&lt;LARGE(AH5:AH34,2))*(AH5:AH34&gt;SMALL(AH5:AH34,2)),AH5:AH34)),0)</f>
        <v>14566530</v>
      </c>
      <c r="AI35" s="8"/>
    </row>
    <row r="36" customFormat="false" ht="14.25" hidden="false" customHeight="false" outlineLevel="0" collapsed="false"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5"/>
    </row>
    <row r="37" customFormat="false" ht="14.25" hidden="false" customHeight="false" outlineLevel="0" collapsed="false">
      <c r="B37" s="26"/>
      <c r="C37" s="7"/>
      <c r="D37" s="1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customFormat="false" ht="33.85" hidden="false" customHeight="false" outlineLevel="0" collapsed="false">
      <c r="B38" s="1" t="s">
        <v>42</v>
      </c>
      <c r="C38" s="2"/>
      <c r="D38" s="27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4"/>
    </row>
    <row r="39" customFormat="false" ht="14.25" hidden="false" customHeight="false" outlineLevel="0" collapsed="false">
      <c r="B39" s="5"/>
      <c r="C39" s="6"/>
      <c r="D39" s="2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8"/>
    </row>
    <row r="40" customFormat="false" ht="14.25" hidden="false" customHeight="false" outlineLevel="0" collapsed="false">
      <c r="B40" s="9"/>
      <c r="C40" s="10" t="s">
        <v>1</v>
      </c>
      <c r="D40" s="11"/>
      <c r="E40" s="11" t="s">
        <v>2</v>
      </c>
      <c r="F40" s="11" t="s">
        <v>3</v>
      </c>
      <c r="G40" s="11" t="s">
        <v>4</v>
      </c>
      <c r="H40" s="11" t="s">
        <v>5</v>
      </c>
      <c r="I40" s="11" t="s">
        <v>6</v>
      </c>
      <c r="J40" s="11" t="s">
        <v>7</v>
      </c>
      <c r="K40" s="12" t="s">
        <v>8</v>
      </c>
      <c r="L40" s="12"/>
      <c r="M40" s="11" t="s">
        <v>2</v>
      </c>
      <c r="N40" s="11" t="s">
        <v>3</v>
      </c>
      <c r="O40" s="11" t="s">
        <v>4</v>
      </c>
      <c r="P40" s="11" t="s">
        <v>5</v>
      </c>
      <c r="Q40" s="11" t="s">
        <v>6</v>
      </c>
      <c r="R40" s="11" t="s">
        <v>7</v>
      </c>
      <c r="S40" s="12" t="s">
        <v>43</v>
      </c>
      <c r="T40" s="12"/>
      <c r="U40" s="11" t="s">
        <v>2</v>
      </c>
      <c r="V40" s="11" t="s">
        <v>3</v>
      </c>
      <c r="W40" s="11" t="s">
        <v>4</v>
      </c>
      <c r="X40" s="11" t="s">
        <v>5</v>
      </c>
      <c r="Y40" s="11" t="s">
        <v>6</v>
      </c>
      <c r="Z40" s="11" t="s">
        <v>7</v>
      </c>
      <c r="AA40" s="12" t="s">
        <v>10</v>
      </c>
      <c r="AB40" s="12"/>
      <c r="AC40" s="11" t="s">
        <v>2</v>
      </c>
      <c r="AD40" s="11" t="s">
        <v>3</v>
      </c>
      <c r="AE40" s="11" t="s">
        <v>4</v>
      </c>
      <c r="AF40" s="11" t="s">
        <v>5</v>
      </c>
      <c r="AG40" s="11" t="s">
        <v>6</v>
      </c>
      <c r="AH40" s="13" t="s">
        <v>7</v>
      </c>
      <c r="AI40" s="8"/>
    </row>
    <row r="41" customFormat="false" ht="16.4" hidden="false" customHeight="false" outlineLevel="0" collapsed="false">
      <c r="B41" s="9"/>
      <c r="C41" s="14"/>
      <c r="D41" s="15" t="s">
        <v>11</v>
      </c>
      <c r="E41" s="16" t="n">
        <v>254926</v>
      </c>
      <c r="F41" s="16" t="n">
        <v>158803</v>
      </c>
      <c r="G41" s="16" t="n">
        <v>104240</v>
      </c>
      <c r="H41" s="16" t="n">
        <v>89363</v>
      </c>
      <c r="I41" s="16" t="n">
        <v>68400</v>
      </c>
      <c r="J41" s="16" t="n">
        <v>87846</v>
      </c>
      <c r="K41" s="7"/>
      <c r="L41" s="7"/>
      <c r="M41" s="16" t="n">
        <v>1694109</v>
      </c>
      <c r="N41" s="16" t="n">
        <v>922914</v>
      </c>
      <c r="O41" s="16" t="n">
        <v>577877</v>
      </c>
      <c r="P41" s="16" t="n">
        <v>415842</v>
      </c>
      <c r="Q41" s="16" t="n">
        <v>363741</v>
      </c>
      <c r="R41" s="16" t="n">
        <v>357213</v>
      </c>
      <c r="S41" s="7"/>
      <c r="T41" s="7"/>
      <c r="U41" s="16" t="n">
        <v>5641359</v>
      </c>
      <c r="V41" s="16" t="n">
        <v>3072368</v>
      </c>
      <c r="W41" s="16" t="n">
        <v>1731285</v>
      </c>
      <c r="X41" s="16" t="n">
        <v>1266373</v>
      </c>
      <c r="Y41" s="16" t="n">
        <v>1017472</v>
      </c>
      <c r="Z41" s="16" t="n">
        <v>1067146</v>
      </c>
      <c r="AA41" s="7"/>
      <c r="AB41" s="7"/>
      <c r="AC41" s="16" t="n">
        <v>15397148</v>
      </c>
      <c r="AD41" s="16" t="n">
        <v>9264540</v>
      </c>
      <c r="AE41" s="16" t="n">
        <v>4022210</v>
      </c>
      <c r="AF41" s="16" t="n">
        <v>3081948</v>
      </c>
      <c r="AG41" s="16" t="n">
        <v>2743523</v>
      </c>
      <c r="AH41" s="16" t="n">
        <v>2595210</v>
      </c>
      <c r="AI41" s="8"/>
    </row>
    <row r="42" customFormat="false" ht="16.4" hidden="false" customHeight="false" outlineLevel="0" collapsed="false">
      <c r="B42" s="9"/>
      <c r="C42" s="14"/>
      <c r="D42" s="15" t="s">
        <v>12</v>
      </c>
      <c r="E42" s="16" t="n">
        <v>305375</v>
      </c>
      <c r="F42" s="16" t="n">
        <v>198523</v>
      </c>
      <c r="G42" s="16" t="n">
        <v>108227</v>
      </c>
      <c r="H42" s="16" t="n">
        <v>85243</v>
      </c>
      <c r="I42" s="16" t="n">
        <v>73926</v>
      </c>
      <c r="J42" s="16" t="n">
        <v>75115</v>
      </c>
      <c r="K42" s="7"/>
      <c r="L42" s="7"/>
      <c r="M42" s="16" t="n">
        <v>1942790</v>
      </c>
      <c r="N42" s="16" t="n">
        <v>1178879</v>
      </c>
      <c r="O42" s="16" t="n">
        <v>468239</v>
      </c>
      <c r="P42" s="16" t="n">
        <v>381545</v>
      </c>
      <c r="Q42" s="16" t="n">
        <v>345703</v>
      </c>
      <c r="R42" s="16" t="n">
        <v>354923</v>
      </c>
      <c r="S42" s="7"/>
      <c r="T42" s="7"/>
      <c r="U42" s="16" t="n">
        <v>6616867</v>
      </c>
      <c r="V42" s="16" t="n">
        <v>2960695</v>
      </c>
      <c r="W42" s="16" t="n">
        <v>1753735</v>
      </c>
      <c r="X42" s="16" t="n">
        <v>1267413</v>
      </c>
      <c r="Y42" s="16" t="n">
        <v>1044175</v>
      </c>
      <c r="Z42" s="16" t="n">
        <v>1019205</v>
      </c>
      <c r="AA42" s="7"/>
      <c r="AB42" s="7"/>
      <c r="AC42" s="16" t="n">
        <v>15656325</v>
      </c>
      <c r="AD42" s="16" t="n">
        <v>8325342</v>
      </c>
      <c r="AE42" s="16" t="n">
        <v>3971283</v>
      </c>
      <c r="AF42" s="16" t="n">
        <v>3083198</v>
      </c>
      <c r="AG42" s="16" t="n">
        <v>2620890</v>
      </c>
      <c r="AH42" s="16" t="n">
        <v>2542806</v>
      </c>
      <c r="AI42" s="8"/>
    </row>
    <row r="43" customFormat="false" ht="16.4" hidden="false" customHeight="false" outlineLevel="0" collapsed="false">
      <c r="B43" s="9"/>
      <c r="C43" s="14"/>
      <c r="D43" s="15" t="s">
        <v>13</v>
      </c>
      <c r="E43" s="16" t="n">
        <v>286923</v>
      </c>
      <c r="F43" s="16" t="n">
        <v>155545</v>
      </c>
      <c r="G43" s="16" t="n">
        <v>113478</v>
      </c>
      <c r="H43" s="16" t="n">
        <v>86184</v>
      </c>
      <c r="I43" s="16" t="n">
        <v>74018</v>
      </c>
      <c r="J43" s="16" t="n">
        <v>79987</v>
      </c>
      <c r="K43" s="7"/>
      <c r="L43" s="7"/>
      <c r="M43" s="16" t="n">
        <v>1668237</v>
      </c>
      <c r="N43" s="16" t="n">
        <v>901834</v>
      </c>
      <c r="O43" s="16" t="n">
        <v>594974</v>
      </c>
      <c r="P43" s="16" t="n">
        <v>363395</v>
      </c>
      <c r="Q43" s="16" t="n">
        <v>330769</v>
      </c>
      <c r="R43" s="16" t="n">
        <v>345116</v>
      </c>
      <c r="S43" s="7"/>
      <c r="T43" s="7"/>
      <c r="U43" s="16" t="n">
        <v>6502480</v>
      </c>
      <c r="V43" s="16" t="n">
        <v>3058006</v>
      </c>
      <c r="W43" s="16" t="n">
        <v>1878575</v>
      </c>
      <c r="X43" s="16" t="n">
        <v>1367968</v>
      </c>
      <c r="Y43" s="16" t="n">
        <v>1111750</v>
      </c>
      <c r="Z43" s="16" t="n">
        <v>990730</v>
      </c>
      <c r="AA43" s="7"/>
      <c r="AB43" s="7"/>
      <c r="AC43" s="16" t="n">
        <v>15659462</v>
      </c>
      <c r="AD43" s="16" t="n">
        <v>7758100</v>
      </c>
      <c r="AE43" s="16" t="n">
        <v>4546827</v>
      </c>
      <c r="AF43" s="16" t="n">
        <v>3041343</v>
      </c>
      <c r="AG43" s="16" t="n">
        <v>2709099</v>
      </c>
      <c r="AH43" s="16" t="n">
        <v>2493706</v>
      </c>
      <c r="AI43" s="8"/>
    </row>
    <row r="44" customFormat="false" ht="16.4" hidden="false" customHeight="false" outlineLevel="0" collapsed="false">
      <c r="B44" s="9"/>
      <c r="C44" s="14"/>
      <c r="D44" s="15" t="s">
        <v>14</v>
      </c>
      <c r="E44" s="16" t="n">
        <v>305573</v>
      </c>
      <c r="F44" s="16" t="n">
        <v>173775</v>
      </c>
      <c r="G44" s="16" t="n">
        <v>105200</v>
      </c>
      <c r="H44" s="16" t="n">
        <v>86430</v>
      </c>
      <c r="I44" s="16" t="n">
        <v>83725</v>
      </c>
      <c r="J44" s="16" t="n">
        <v>71646</v>
      </c>
      <c r="K44" s="7"/>
      <c r="L44" s="7"/>
      <c r="M44" s="16" t="n">
        <v>1698927</v>
      </c>
      <c r="N44" s="16" t="n">
        <v>915120</v>
      </c>
      <c r="O44" s="16" t="n">
        <v>487086</v>
      </c>
      <c r="P44" s="16" t="n">
        <v>365230</v>
      </c>
      <c r="Q44" s="16" t="n">
        <v>332232</v>
      </c>
      <c r="R44" s="16" t="n">
        <v>345929</v>
      </c>
      <c r="S44" s="7"/>
      <c r="T44" s="7"/>
      <c r="U44" s="16" t="n">
        <v>6517217</v>
      </c>
      <c r="V44" s="16" t="n">
        <v>3138264</v>
      </c>
      <c r="W44" s="16" t="n">
        <v>1593633</v>
      </c>
      <c r="X44" s="16" t="n">
        <v>1233920</v>
      </c>
      <c r="Y44" s="16" t="n">
        <v>1055021</v>
      </c>
      <c r="Z44" s="16" t="n">
        <v>1022032</v>
      </c>
      <c r="AA44" s="7"/>
      <c r="AB44" s="7"/>
      <c r="AC44" s="16" t="n">
        <v>18112355</v>
      </c>
      <c r="AD44" s="16" t="n">
        <v>7599639</v>
      </c>
      <c r="AE44" s="16" t="n">
        <v>4922225</v>
      </c>
      <c r="AF44" s="16" t="n">
        <v>3254419</v>
      </c>
      <c r="AG44" s="16" t="n">
        <v>2748872</v>
      </c>
      <c r="AH44" s="16" t="n">
        <v>2485907</v>
      </c>
      <c r="AI44" s="8"/>
    </row>
    <row r="45" customFormat="false" ht="16.4" hidden="false" customHeight="false" outlineLevel="0" collapsed="false">
      <c r="B45" s="9"/>
      <c r="C45" s="14"/>
      <c r="D45" s="15" t="s">
        <v>15</v>
      </c>
      <c r="E45" s="16" t="n">
        <v>274030</v>
      </c>
      <c r="F45" s="16" t="n">
        <v>161816</v>
      </c>
      <c r="G45" s="16" t="n">
        <v>103422</v>
      </c>
      <c r="H45" s="16" t="n">
        <v>74703</v>
      </c>
      <c r="I45" s="16" t="n">
        <v>77646</v>
      </c>
      <c r="J45" s="16" t="n">
        <v>86888</v>
      </c>
      <c r="K45" s="7"/>
      <c r="L45" s="7"/>
      <c r="M45" s="16" t="n">
        <v>1935370</v>
      </c>
      <c r="N45" s="16" t="n">
        <v>858123</v>
      </c>
      <c r="O45" s="16" t="n">
        <v>570726</v>
      </c>
      <c r="P45" s="16" t="n">
        <v>370856</v>
      </c>
      <c r="Q45" s="16" t="n">
        <v>349338</v>
      </c>
      <c r="R45" s="16" t="n">
        <v>349874</v>
      </c>
      <c r="S45" s="7"/>
      <c r="T45" s="7"/>
      <c r="U45" s="16" t="n">
        <v>6548769</v>
      </c>
      <c r="V45" s="16" t="n">
        <v>3356364</v>
      </c>
      <c r="W45" s="16" t="n">
        <v>1559062</v>
      </c>
      <c r="X45" s="16" t="n">
        <v>1370506</v>
      </c>
      <c r="Y45" s="16" t="n">
        <v>1078403</v>
      </c>
      <c r="Z45" s="16" t="n">
        <v>1054581</v>
      </c>
      <c r="AA45" s="7"/>
      <c r="AB45" s="7"/>
      <c r="AC45" s="16" t="n">
        <v>16544213</v>
      </c>
      <c r="AD45" s="16" t="n">
        <v>8664233</v>
      </c>
      <c r="AE45" s="16" t="n">
        <v>4624542</v>
      </c>
      <c r="AF45" s="16" t="n">
        <v>3159855</v>
      </c>
      <c r="AG45" s="16" t="n">
        <v>2934496</v>
      </c>
      <c r="AH45" s="16" t="n">
        <v>2510192</v>
      </c>
      <c r="AI45" s="8"/>
    </row>
    <row r="46" customFormat="false" ht="16.4" hidden="false" customHeight="false" outlineLevel="0" collapsed="false">
      <c r="B46" s="9"/>
      <c r="C46" s="14"/>
      <c r="D46" s="15" t="s">
        <v>16</v>
      </c>
      <c r="E46" s="16" t="n">
        <v>251985</v>
      </c>
      <c r="F46" s="16" t="n">
        <v>168949</v>
      </c>
      <c r="G46" s="16" t="n">
        <v>121348</v>
      </c>
      <c r="H46" s="16" t="n">
        <v>86591</v>
      </c>
      <c r="I46" s="16" t="n">
        <v>75601</v>
      </c>
      <c r="J46" s="16" t="n">
        <v>88071</v>
      </c>
      <c r="K46" s="7"/>
      <c r="L46" s="7"/>
      <c r="M46" s="16" t="n">
        <v>1310681</v>
      </c>
      <c r="N46" s="16" t="n">
        <v>857332</v>
      </c>
      <c r="O46" s="16" t="n">
        <v>561577</v>
      </c>
      <c r="P46" s="16" t="n">
        <v>365763</v>
      </c>
      <c r="Q46" s="16" t="n">
        <v>355756</v>
      </c>
      <c r="R46" s="16" t="n">
        <v>349366</v>
      </c>
      <c r="S46" s="7"/>
      <c r="T46" s="7"/>
      <c r="U46" s="16" t="n">
        <v>6608966</v>
      </c>
      <c r="V46" s="16" t="n">
        <v>3165938</v>
      </c>
      <c r="W46" s="16" t="n">
        <v>1659848</v>
      </c>
      <c r="X46" s="16" t="n">
        <v>1287038</v>
      </c>
      <c r="Y46" s="16" t="n">
        <v>1078177</v>
      </c>
      <c r="Z46" s="16" t="n">
        <v>1121158</v>
      </c>
      <c r="AA46" s="7"/>
      <c r="AB46" s="7"/>
      <c r="AC46" s="16" t="n">
        <v>15523307</v>
      </c>
      <c r="AD46" s="16" t="n">
        <v>8977914</v>
      </c>
      <c r="AE46" s="16" t="n">
        <v>4555606</v>
      </c>
      <c r="AF46" s="16" t="n">
        <v>3047910</v>
      </c>
      <c r="AG46" s="16" t="n">
        <v>2677948</v>
      </c>
      <c r="AH46" s="16" t="n">
        <v>2583156</v>
      </c>
      <c r="AI46" s="8"/>
    </row>
    <row r="47" customFormat="false" ht="16.4" hidden="false" customHeight="false" outlineLevel="0" collapsed="false">
      <c r="B47" s="9"/>
      <c r="C47" s="14"/>
      <c r="D47" s="15" t="s">
        <v>17</v>
      </c>
      <c r="E47" s="16" t="n">
        <v>255424</v>
      </c>
      <c r="F47" s="16" t="n">
        <v>159271</v>
      </c>
      <c r="G47" s="16" t="n">
        <v>104953</v>
      </c>
      <c r="H47" s="16" t="n">
        <v>78776</v>
      </c>
      <c r="I47" s="16" t="n">
        <v>69586</v>
      </c>
      <c r="J47" s="16" t="n">
        <v>91728</v>
      </c>
      <c r="K47" s="7"/>
      <c r="L47" s="7"/>
      <c r="M47" s="16" t="n">
        <v>1766975</v>
      </c>
      <c r="N47" s="16" t="n">
        <v>846260</v>
      </c>
      <c r="O47" s="16" t="n">
        <v>518623</v>
      </c>
      <c r="P47" s="16" t="n">
        <v>400188</v>
      </c>
      <c r="Q47" s="16" t="n">
        <v>337466</v>
      </c>
      <c r="R47" s="16" t="n">
        <v>377422</v>
      </c>
      <c r="S47" s="7"/>
      <c r="T47" s="7"/>
      <c r="U47" s="16" t="n">
        <v>6585431</v>
      </c>
      <c r="V47" s="16" t="n">
        <v>3059041</v>
      </c>
      <c r="W47" s="16" t="n">
        <v>1699087</v>
      </c>
      <c r="X47" s="16" t="n">
        <v>1220632</v>
      </c>
      <c r="Y47" s="16" t="n">
        <v>1038831</v>
      </c>
      <c r="Z47" s="16" t="n">
        <v>1146934</v>
      </c>
      <c r="AA47" s="7"/>
      <c r="AB47" s="7"/>
      <c r="AC47" s="16" t="n">
        <v>16952260</v>
      </c>
      <c r="AD47" s="16" t="n">
        <v>9035535</v>
      </c>
      <c r="AE47" s="16" t="n">
        <v>4553731</v>
      </c>
      <c r="AF47" s="16" t="n">
        <v>2733784</v>
      </c>
      <c r="AG47" s="16" t="n">
        <v>2679557</v>
      </c>
      <c r="AH47" s="16" t="n">
        <v>2438016</v>
      </c>
      <c r="AI47" s="8"/>
    </row>
    <row r="48" customFormat="false" ht="16.4" hidden="false" customHeight="false" outlineLevel="0" collapsed="false">
      <c r="B48" s="9"/>
      <c r="C48" s="14"/>
      <c r="D48" s="15" t="s">
        <v>18</v>
      </c>
      <c r="E48" s="16" t="n">
        <v>258454</v>
      </c>
      <c r="F48" s="16" t="n">
        <v>158095</v>
      </c>
      <c r="G48" s="16" t="n">
        <v>115255</v>
      </c>
      <c r="H48" s="16" t="n">
        <v>78247</v>
      </c>
      <c r="I48" s="16" t="n">
        <v>69158</v>
      </c>
      <c r="J48" s="16" t="n">
        <v>83025</v>
      </c>
      <c r="K48" s="7"/>
      <c r="L48" s="7"/>
      <c r="M48" s="16" t="n">
        <v>1638607</v>
      </c>
      <c r="N48" s="16" t="n">
        <v>844545</v>
      </c>
      <c r="O48" s="16" t="n">
        <v>526308</v>
      </c>
      <c r="P48" s="16" t="n">
        <v>362642</v>
      </c>
      <c r="Q48" s="16" t="n">
        <v>339761</v>
      </c>
      <c r="R48" s="16" t="n">
        <v>351348</v>
      </c>
      <c r="S48" s="7"/>
      <c r="T48" s="7"/>
      <c r="U48" s="16" t="n">
        <v>6607499</v>
      </c>
      <c r="V48" s="16" t="n">
        <v>3074568</v>
      </c>
      <c r="W48" s="16" t="n">
        <v>1563223</v>
      </c>
      <c r="X48" s="16" t="n">
        <v>1160242</v>
      </c>
      <c r="Y48" s="16" t="n">
        <v>1069578</v>
      </c>
      <c r="Z48" s="16" t="n">
        <v>1115651</v>
      </c>
      <c r="AA48" s="7"/>
      <c r="AB48" s="7"/>
      <c r="AC48" s="16" t="n">
        <v>17794159</v>
      </c>
      <c r="AD48" s="16" t="n">
        <v>9113861</v>
      </c>
      <c r="AE48" s="16" t="n">
        <v>4553418</v>
      </c>
      <c r="AF48" s="16" t="n">
        <v>3000954</v>
      </c>
      <c r="AG48" s="16" t="n">
        <v>2634079</v>
      </c>
      <c r="AH48" s="16" t="n">
        <v>2696630</v>
      </c>
      <c r="AI48" s="8"/>
    </row>
    <row r="49" customFormat="false" ht="16.4" hidden="false" customHeight="false" outlineLevel="0" collapsed="false">
      <c r="B49" s="9"/>
      <c r="C49" s="14"/>
      <c r="D49" s="15" t="s">
        <v>19</v>
      </c>
      <c r="E49" s="16" t="n">
        <v>259828</v>
      </c>
      <c r="F49" s="16" t="n">
        <v>190756</v>
      </c>
      <c r="G49" s="16" t="n">
        <v>102911</v>
      </c>
      <c r="H49" s="16" t="n">
        <v>82400</v>
      </c>
      <c r="I49" s="16" t="n">
        <v>87311</v>
      </c>
      <c r="J49" s="16" t="n">
        <v>78410</v>
      </c>
      <c r="K49" s="7"/>
      <c r="L49" s="7"/>
      <c r="M49" s="16" t="n">
        <v>1897985</v>
      </c>
      <c r="N49" s="16" t="n">
        <v>903816</v>
      </c>
      <c r="O49" s="16" t="n">
        <v>462587</v>
      </c>
      <c r="P49" s="16" t="n">
        <v>360056</v>
      </c>
      <c r="Q49" s="16" t="n">
        <v>335891</v>
      </c>
      <c r="R49" s="16" t="n">
        <v>344376</v>
      </c>
      <c r="S49" s="7"/>
      <c r="T49" s="7"/>
      <c r="U49" s="16" t="n">
        <v>5982465</v>
      </c>
      <c r="V49" s="16" t="n">
        <v>2986578</v>
      </c>
      <c r="W49" s="16" t="n">
        <v>1565411</v>
      </c>
      <c r="X49" s="16" t="n">
        <v>1175253</v>
      </c>
      <c r="Y49" s="16" t="n">
        <v>1055530</v>
      </c>
      <c r="Z49" s="16" t="n">
        <v>1093025</v>
      </c>
      <c r="AA49" s="7"/>
      <c r="AB49" s="7"/>
      <c r="AC49" s="16" t="n">
        <v>15932496</v>
      </c>
      <c r="AD49" s="16" t="n">
        <v>8881485</v>
      </c>
      <c r="AE49" s="16" t="n">
        <v>4500493</v>
      </c>
      <c r="AF49" s="16" t="n">
        <v>2982173</v>
      </c>
      <c r="AG49" s="16" t="n">
        <v>2731209</v>
      </c>
      <c r="AH49" s="16" t="n">
        <v>2529623</v>
      </c>
      <c r="AI49" s="8"/>
    </row>
    <row r="50" customFormat="false" ht="16.4" hidden="false" customHeight="false" outlineLevel="0" collapsed="false">
      <c r="B50" s="9"/>
      <c r="C50" s="14"/>
      <c r="D50" s="15" t="s">
        <v>20</v>
      </c>
      <c r="E50" s="16" t="n">
        <v>256539</v>
      </c>
      <c r="F50" s="16" t="n">
        <v>156961</v>
      </c>
      <c r="G50" s="16" t="n">
        <v>101354</v>
      </c>
      <c r="H50" s="16" t="n">
        <v>86918</v>
      </c>
      <c r="I50" s="16" t="n">
        <v>77250</v>
      </c>
      <c r="J50" s="16" t="n">
        <v>79630</v>
      </c>
      <c r="K50" s="7"/>
      <c r="L50" s="7"/>
      <c r="M50" s="16" t="n">
        <v>1803552</v>
      </c>
      <c r="N50" s="16" t="n">
        <v>920887</v>
      </c>
      <c r="O50" s="16" t="n">
        <v>483599</v>
      </c>
      <c r="P50" s="16" t="n">
        <v>433157</v>
      </c>
      <c r="Q50" s="16" t="n">
        <v>333787</v>
      </c>
      <c r="R50" s="16" t="n">
        <v>341573</v>
      </c>
      <c r="S50" s="7"/>
      <c r="T50" s="7"/>
      <c r="U50" s="16" t="n">
        <v>5865894</v>
      </c>
      <c r="V50" s="16" t="n">
        <v>3078026</v>
      </c>
      <c r="W50" s="16" t="n">
        <v>1589551</v>
      </c>
      <c r="X50" s="16" t="n">
        <v>1238263</v>
      </c>
      <c r="Y50" s="16" t="n">
        <v>1077088</v>
      </c>
      <c r="Z50" s="16" t="n">
        <v>1052135</v>
      </c>
      <c r="AA50" s="7"/>
      <c r="AB50" s="7"/>
      <c r="AC50" s="16" t="n">
        <v>15533680</v>
      </c>
      <c r="AD50" s="16" t="n">
        <v>8850191</v>
      </c>
      <c r="AE50" s="16" t="n">
        <v>4595087</v>
      </c>
      <c r="AF50" s="16" t="n">
        <v>3247247</v>
      </c>
      <c r="AG50" s="16" t="n">
        <v>2778224</v>
      </c>
      <c r="AH50" s="16" t="n">
        <v>2464558</v>
      </c>
      <c r="AI50" s="8"/>
    </row>
    <row r="51" customFormat="false" ht="16.4" hidden="false" customHeight="false" outlineLevel="0" collapsed="false">
      <c r="B51" s="9"/>
      <c r="C51" s="14"/>
      <c r="D51" s="15" t="s">
        <v>21</v>
      </c>
      <c r="E51" s="16" t="n">
        <v>249816</v>
      </c>
      <c r="F51" s="16" t="n">
        <v>156551</v>
      </c>
      <c r="G51" s="16" t="n">
        <v>101337</v>
      </c>
      <c r="H51" s="16" t="n">
        <v>88966</v>
      </c>
      <c r="I51" s="16" t="n">
        <v>73740</v>
      </c>
      <c r="J51" s="16" t="n">
        <v>81528</v>
      </c>
      <c r="K51" s="7"/>
      <c r="L51" s="7"/>
      <c r="M51" s="16" t="n">
        <v>1772187</v>
      </c>
      <c r="N51" s="16" t="n">
        <v>868768</v>
      </c>
      <c r="O51" s="16" t="n">
        <v>520701</v>
      </c>
      <c r="P51" s="16" t="n">
        <v>397343</v>
      </c>
      <c r="Q51" s="16" t="n">
        <v>349592</v>
      </c>
      <c r="R51" s="16" t="n">
        <v>343506</v>
      </c>
      <c r="S51" s="7"/>
      <c r="T51" s="7"/>
      <c r="U51" s="16" t="n">
        <v>5910898</v>
      </c>
      <c r="V51" s="16" t="n">
        <v>3138131</v>
      </c>
      <c r="W51" s="16" t="n">
        <v>1664134</v>
      </c>
      <c r="X51" s="16" t="n">
        <v>1241806</v>
      </c>
      <c r="Y51" s="16" t="n">
        <v>1050689</v>
      </c>
      <c r="Z51" s="16" t="n">
        <v>1026084</v>
      </c>
      <c r="AA51" s="7"/>
      <c r="AB51" s="7"/>
      <c r="AC51" s="16" t="n">
        <v>15523533</v>
      </c>
      <c r="AD51" s="16" t="n">
        <v>8826233</v>
      </c>
      <c r="AE51" s="16" t="n">
        <v>4678758</v>
      </c>
      <c r="AF51" s="16" t="n">
        <v>3238046</v>
      </c>
      <c r="AG51" s="16" t="n">
        <v>2648720</v>
      </c>
      <c r="AH51" s="16" t="n">
        <v>2553354</v>
      </c>
      <c r="AI51" s="8"/>
    </row>
    <row r="52" customFormat="false" ht="16.4" hidden="false" customHeight="false" outlineLevel="0" collapsed="false">
      <c r="B52" s="9"/>
      <c r="C52" s="14"/>
      <c r="D52" s="15" t="s">
        <v>22</v>
      </c>
      <c r="E52" s="16" t="n">
        <v>318114</v>
      </c>
      <c r="F52" s="16" t="n">
        <v>151784</v>
      </c>
      <c r="G52" s="16" t="n">
        <v>102119</v>
      </c>
      <c r="H52" s="16" t="n">
        <v>92106</v>
      </c>
      <c r="I52" s="16" t="n">
        <v>92301</v>
      </c>
      <c r="J52" s="16" t="n">
        <v>86284</v>
      </c>
      <c r="K52" s="7"/>
      <c r="L52" s="7"/>
      <c r="M52" s="16" t="n">
        <v>1730182</v>
      </c>
      <c r="N52" s="16" t="n">
        <v>860892</v>
      </c>
      <c r="O52" s="16" t="n">
        <v>484152</v>
      </c>
      <c r="P52" s="16" t="n">
        <v>381546</v>
      </c>
      <c r="Q52" s="16" t="n">
        <v>328821</v>
      </c>
      <c r="R52" s="16" t="n">
        <v>336426</v>
      </c>
      <c r="S52" s="7"/>
      <c r="T52" s="7"/>
      <c r="U52" s="16" t="n">
        <v>6697136</v>
      </c>
      <c r="V52" s="16" t="n">
        <v>3218134</v>
      </c>
      <c r="W52" s="16" t="n">
        <v>1575337</v>
      </c>
      <c r="X52" s="16" t="n">
        <v>1157554</v>
      </c>
      <c r="Y52" s="16" t="n">
        <v>1090626</v>
      </c>
      <c r="Z52" s="16" t="n">
        <v>1103529</v>
      </c>
      <c r="AA52" s="7"/>
      <c r="AB52" s="7"/>
      <c r="AC52" s="16" t="n">
        <v>16784928</v>
      </c>
      <c r="AD52" s="16" t="n">
        <v>8568194</v>
      </c>
      <c r="AE52" s="16" t="n">
        <v>4349550</v>
      </c>
      <c r="AF52" s="16" t="n">
        <v>3019847</v>
      </c>
      <c r="AG52" s="16" t="n">
        <v>2928086</v>
      </c>
      <c r="AH52" s="16" t="n">
        <v>2698317</v>
      </c>
      <c r="AI52" s="8"/>
    </row>
    <row r="53" customFormat="false" ht="16.4" hidden="false" customHeight="false" outlineLevel="0" collapsed="false">
      <c r="B53" s="9"/>
      <c r="C53" s="14"/>
      <c r="D53" s="15" t="s">
        <v>23</v>
      </c>
      <c r="E53" s="16" t="n">
        <v>233629</v>
      </c>
      <c r="F53" s="16" t="n">
        <v>190415</v>
      </c>
      <c r="G53" s="16" t="n">
        <v>102948</v>
      </c>
      <c r="H53" s="16" t="n">
        <v>88396</v>
      </c>
      <c r="I53" s="16" t="n">
        <v>71165</v>
      </c>
      <c r="J53" s="16" t="n">
        <v>90433</v>
      </c>
      <c r="K53" s="7"/>
      <c r="L53" s="7"/>
      <c r="M53" s="16" t="n">
        <v>1739347</v>
      </c>
      <c r="N53" s="16" t="n">
        <v>859209</v>
      </c>
      <c r="O53" s="16" t="n">
        <v>465429</v>
      </c>
      <c r="P53" s="16" t="n">
        <v>400398</v>
      </c>
      <c r="Q53" s="16" t="n">
        <v>341471</v>
      </c>
      <c r="R53" s="16" t="n">
        <v>355337</v>
      </c>
      <c r="S53" s="7"/>
      <c r="T53" s="7"/>
      <c r="U53" s="16" t="n">
        <v>6440165</v>
      </c>
      <c r="V53" s="16" t="n">
        <v>2988981</v>
      </c>
      <c r="W53" s="16" t="n">
        <v>1615885</v>
      </c>
      <c r="X53" s="16" t="n">
        <v>1178665</v>
      </c>
      <c r="Y53" s="16" t="n">
        <v>1092101</v>
      </c>
      <c r="Z53" s="16" t="n">
        <v>1057721</v>
      </c>
      <c r="AA53" s="7"/>
      <c r="AB53" s="7"/>
      <c r="AC53" s="16" t="n">
        <v>15671048</v>
      </c>
      <c r="AD53" s="16" t="n">
        <v>7560790</v>
      </c>
      <c r="AE53" s="16" t="n">
        <v>4186640</v>
      </c>
      <c r="AF53" s="16" t="n">
        <v>2863813</v>
      </c>
      <c r="AG53" s="16" t="n">
        <v>2636828</v>
      </c>
      <c r="AH53" s="16" t="n">
        <v>2517177</v>
      </c>
      <c r="AI53" s="8"/>
    </row>
    <row r="54" customFormat="false" ht="16.4" hidden="false" customHeight="false" outlineLevel="0" collapsed="false">
      <c r="B54" s="9"/>
      <c r="C54" s="14"/>
      <c r="D54" s="15" t="s">
        <v>24</v>
      </c>
      <c r="E54" s="16" t="n">
        <v>279088</v>
      </c>
      <c r="F54" s="16" t="n">
        <v>182273</v>
      </c>
      <c r="G54" s="16" t="n">
        <v>105007</v>
      </c>
      <c r="H54" s="16" t="n">
        <v>85688</v>
      </c>
      <c r="I54" s="16" t="n">
        <v>78043</v>
      </c>
      <c r="J54" s="16" t="n">
        <v>85609</v>
      </c>
      <c r="K54" s="7"/>
      <c r="L54" s="7"/>
      <c r="M54" s="16" t="n">
        <v>1777551</v>
      </c>
      <c r="N54" s="16" t="n">
        <v>1022286</v>
      </c>
      <c r="O54" s="16" t="n">
        <v>521810</v>
      </c>
      <c r="P54" s="16" t="n">
        <v>363746</v>
      </c>
      <c r="Q54" s="16" t="n">
        <v>329647</v>
      </c>
      <c r="R54" s="16" t="n">
        <v>382683</v>
      </c>
      <c r="S54" s="7"/>
      <c r="T54" s="7"/>
      <c r="U54" s="16" t="n">
        <v>6753560</v>
      </c>
      <c r="V54" s="16" t="n">
        <v>2968992</v>
      </c>
      <c r="W54" s="16" t="n">
        <v>1591649</v>
      </c>
      <c r="X54" s="16" t="n">
        <v>1153982</v>
      </c>
      <c r="Y54" s="16" t="n">
        <v>1057922</v>
      </c>
      <c r="Z54" s="16" t="n">
        <v>1173704</v>
      </c>
      <c r="AA54" s="7"/>
      <c r="AB54" s="7"/>
      <c r="AC54" s="16" t="n">
        <v>14078160</v>
      </c>
      <c r="AD54" s="16" t="n">
        <v>7620385</v>
      </c>
      <c r="AE54" s="16" t="n">
        <v>4359793</v>
      </c>
      <c r="AF54" s="16" t="n">
        <v>2835796</v>
      </c>
      <c r="AG54" s="16" t="n">
        <v>2676259</v>
      </c>
      <c r="AH54" s="16" t="n">
        <v>2482979</v>
      </c>
      <c r="AI54" s="8"/>
    </row>
    <row r="55" customFormat="false" ht="16.4" hidden="false" customHeight="false" outlineLevel="0" collapsed="false">
      <c r="B55" s="9"/>
      <c r="C55" s="14"/>
      <c r="D55" s="15" t="s">
        <v>25</v>
      </c>
      <c r="E55" s="16" t="n">
        <v>347608</v>
      </c>
      <c r="F55" s="16" t="n">
        <v>155788</v>
      </c>
      <c r="G55" s="16" t="n">
        <v>103944</v>
      </c>
      <c r="H55" s="16" t="n">
        <v>72440</v>
      </c>
      <c r="I55" s="16" t="n">
        <v>81421</v>
      </c>
      <c r="J55" s="16" t="n">
        <v>83438</v>
      </c>
      <c r="K55" s="7"/>
      <c r="L55" s="7"/>
      <c r="M55" s="16" t="n">
        <v>1899967</v>
      </c>
      <c r="N55" s="16" t="n">
        <v>919062</v>
      </c>
      <c r="O55" s="16" t="n">
        <v>581324</v>
      </c>
      <c r="P55" s="16" t="n">
        <v>347969</v>
      </c>
      <c r="Q55" s="16" t="n">
        <v>348102</v>
      </c>
      <c r="R55" s="16" t="n">
        <v>362071</v>
      </c>
      <c r="S55" s="7"/>
      <c r="T55" s="7"/>
      <c r="U55" s="16" t="n">
        <v>5839611</v>
      </c>
      <c r="V55" s="16" t="n">
        <v>3357350</v>
      </c>
      <c r="W55" s="16" t="n">
        <v>1567383</v>
      </c>
      <c r="X55" s="16" t="n">
        <v>1158040</v>
      </c>
      <c r="Y55" s="16" t="n">
        <v>1168389</v>
      </c>
      <c r="Z55" s="16" t="n">
        <v>1020917</v>
      </c>
      <c r="AA55" s="7"/>
      <c r="AB55" s="7"/>
      <c r="AC55" s="16" t="n">
        <v>17286683</v>
      </c>
      <c r="AD55" s="16" t="n">
        <v>7477334</v>
      </c>
      <c r="AE55" s="16" t="n">
        <v>4308546</v>
      </c>
      <c r="AF55" s="16" t="n">
        <v>2937626</v>
      </c>
      <c r="AG55" s="16" t="n">
        <v>2744632</v>
      </c>
      <c r="AH55" s="16" t="n">
        <v>2516196</v>
      </c>
      <c r="AI55" s="8"/>
    </row>
    <row r="56" customFormat="false" ht="16.4" hidden="false" customHeight="false" outlineLevel="0" collapsed="false">
      <c r="B56" s="9"/>
      <c r="C56" s="14"/>
      <c r="D56" s="15" t="s">
        <v>26</v>
      </c>
      <c r="E56" s="16" t="n">
        <v>259281</v>
      </c>
      <c r="F56" s="16" t="n">
        <v>161677</v>
      </c>
      <c r="G56" s="16" t="n">
        <v>114240</v>
      </c>
      <c r="H56" s="16" t="n">
        <v>82741</v>
      </c>
      <c r="I56" s="16" t="n">
        <v>68520</v>
      </c>
      <c r="J56" s="16" t="n">
        <v>85716</v>
      </c>
      <c r="K56" s="7"/>
      <c r="L56" s="7"/>
      <c r="M56" s="16" t="n">
        <v>1682278</v>
      </c>
      <c r="N56" s="16" t="n">
        <v>855000</v>
      </c>
      <c r="O56" s="16" t="n">
        <v>472900</v>
      </c>
      <c r="P56" s="16" t="n">
        <v>365486</v>
      </c>
      <c r="Q56" s="16" t="n">
        <v>330186</v>
      </c>
      <c r="R56" s="16" t="n">
        <v>344052</v>
      </c>
      <c r="S56" s="7"/>
      <c r="T56" s="7"/>
      <c r="U56" s="16" t="n">
        <v>6301871</v>
      </c>
      <c r="V56" s="16" t="n">
        <v>2995406</v>
      </c>
      <c r="W56" s="16" t="n">
        <v>1650440</v>
      </c>
      <c r="X56" s="16" t="n">
        <v>1157773</v>
      </c>
      <c r="Y56" s="16" t="n">
        <v>1104559</v>
      </c>
      <c r="Z56" s="16" t="n">
        <v>1053247</v>
      </c>
      <c r="AA56" s="7"/>
      <c r="AB56" s="7"/>
      <c r="AC56" s="16" t="n">
        <v>15753442</v>
      </c>
      <c r="AD56" s="16" t="n">
        <v>7801784</v>
      </c>
      <c r="AE56" s="16" t="n">
        <v>4042346</v>
      </c>
      <c r="AF56" s="16" t="n">
        <v>2953008</v>
      </c>
      <c r="AG56" s="16" t="n">
        <v>2703410</v>
      </c>
      <c r="AH56" s="16" t="n">
        <v>2419346</v>
      </c>
      <c r="AI56" s="8"/>
    </row>
    <row r="57" customFormat="false" ht="16.4" hidden="false" customHeight="false" outlineLevel="0" collapsed="false">
      <c r="B57" s="9"/>
      <c r="C57" s="14"/>
      <c r="D57" s="15" t="s">
        <v>27</v>
      </c>
      <c r="E57" s="16" t="n">
        <v>263184</v>
      </c>
      <c r="F57" s="16" t="n">
        <v>164254</v>
      </c>
      <c r="G57" s="16" t="n">
        <v>116181</v>
      </c>
      <c r="H57" s="16" t="n">
        <v>84602</v>
      </c>
      <c r="I57" s="16" t="n">
        <v>76743</v>
      </c>
      <c r="J57" s="16" t="n">
        <v>91426</v>
      </c>
      <c r="K57" s="7"/>
      <c r="L57" s="7"/>
      <c r="M57" s="16" t="n">
        <v>1886622</v>
      </c>
      <c r="N57" s="16" t="n">
        <v>1032275</v>
      </c>
      <c r="O57" s="16" t="n">
        <v>582540</v>
      </c>
      <c r="P57" s="16" t="n">
        <v>340742</v>
      </c>
      <c r="Q57" s="16" t="n">
        <v>326662</v>
      </c>
      <c r="R57" s="16" t="n">
        <v>357046</v>
      </c>
      <c r="S57" s="7"/>
      <c r="T57" s="7"/>
      <c r="U57" s="16" t="n">
        <v>6122100</v>
      </c>
      <c r="V57" s="16" t="n">
        <v>3049259</v>
      </c>
      <c r="W57" s="16" t="n">
        <v>1728292</v>
      </c>
      <c r="X57" s="16" t="n">
        <v>1202866</v>
      </c>
      <c r="Y57" s="16" t="n">
        <v>1061194</v>
      </c>
      <c r="Z57" s="16" t="n">
        <v>1099651</v>
      </c>
      <c r="AA57" s="7"/>
      <c r="AB57" s="7"/>
      <c r="AC57" s="16" t="n">
        <v>15622977</v>
      </c>
      <c r="AD57" s="16" t="n">
        <v>8086336</v>
      </c>
      <c r="AE57" s="16" t="n">
        <v>4379708</v>
      </c>
      <c r="AF57" s="16" t="n">
        <v>3174128</v>
      </c>
      <c r="AG57" s="16" t="n">
        <v>2756582</v>
      </c>
      <c r="AH57" s="16" t="n">
        <v>2491949</v>
      </c>
      <c r="AI57" s="8"/>
    </row>
    <row r="58" customFormat="false" ht="16.4" hidden="false" customHeight="false" outlineLevel="0" collapsed="false">
      <c r="B58" s="9"/>
      <c r="C58" s="14"/>
      <c r="D58" s="15" t="s">
        <v>28</v>
      </c>
      <c r="E58" s="16" t="n">
        <v>271569</v>
      </c>
      <c r="F58" s="16" t="n">
        <v>163148</v>
      </c>
      <c r="G58" s="16" t="n">
        <v>107080</v>
      </c>
      <c r="H58" s="16" t="n">
        <v>81469</v>
      </c>
      <c r="I58" s="16" t="n">
        <v>83489</v>
      </c>
      <c r="J58" s="16" t="n">
        <v>75810</v>
      </c>
      <c r="K58" s="7"/>
      <c r="L58" s="7"/>
      <c r="M58" s="16" t="n">
        <v>1934829</v>
      </c>
      <c r="N58" s="16" t="n">
        <v>968894</v>
      </c>
      <c r="O58" s="16" t="n">
        <v>561650</v>
      </c>
      <c r="P58" s="16" t="n">
        <v>410974</v>
      </c>
      <c r="Q58" s="16" t="n">
        <v>331610</v>
      </c>
      <c r="R58" s="16" t="n">
        <v>361684</v>
      </c>
      <c r="S58" s="7"/>
      <c r="T58" s="7"/>
      <c r="U58" s="16" t="n">
        <v>6546455</v>
      </c>
      <c r="V58" s="16" t="n">
        <v>3069813</v>
      </c>
      <c r="W58" s="16" t="n">
        <v>1698137</v>
      </c>
      <c r="X58" s="16" t="n">
        <v>1312872</v>
      </c>
      <c r="Y58" s="16" t="n">
        <v>1026163</v>
      </c>
      <c r="Z58" s="16" t="n">
        <v>1172023</v>
      </c>
      <c r="AA58" s="7"/>
      <c r="AB58" s="7"/>
      <c r="AC58" s="16" t="n">
        <v>16110966</v>
      </c>
      <c r="AD58" s="16" t="n">
        <v>7853227</v>
      </c>
      <c r="AE58" s="16" t="n">
        <v>4158352</v>
      </c>
      <c r="AF58" s="16" t="n">
        <v>3259547</v>
      </c>
      <c r="AG58" s="16" t="n">
        <v>2626243</v>
      </c>
      <c r="AH58" s="16" t="n">
        <v>2544988</v>
      </c>
      <c r="AI58" s="8"/>
    </row>
    <row r="59" customFormat="false" ht="16.4" hidden="false" customHeight="false" outlineLevel="0" collapsed="false">
      <c r="B59" s="9"/>
      <c r="C59" s="14"/>
      <c r="D59" s="15" t="s">
        <v>29</v>
      </c>
      <c r="E59" s="16" t="n">
        <v>216404</v>
      </c>
      <c r="F59" s="16" t="n">
        <v>154825</v>
      </c>
      <c r="G59" s="16" t="n">
        <v>116626</v>
      </c>
      <c r="H59" s="16" t="n">
        <v>85789</v>
      </c>
      <c r="I59" s="16" t="n">
        <v>82187</v>
      </c>
      <c r="J59" s="16" t="n">
        <v>82862</v>
      </c>
      <c r="K59" s="7"/>
      <c r="L59" s="7"/>
      <c r="M59" s="16" t="n">
        <v>1640387</v>
      </c>
      <c r="N59" s="16" t="n">
        <v>908793</v>
      </c>
      <c r="O59" s="16" t="n">
        <v>590269</v>
      </c>
      <c r="P59" s="16" t="n">
        <v>358265</v>
      </c>
      <c r="Q59" s="16" t="n">
        <v>338374</v>
      </c>
      <c r="R59" s="16" t="n">
        <v>337956</v>
      </c>
      <c r="S59" s="7"/>
      <c r="T59" s="7"/>
      <c r="U59" s="16" t="n">
        <v>6588895</v>
      </c>
      <c r="V59" s="16" t="n">
        <v>3007269</v>
      </c>
      <c r="W59" s="16" t="n">
        <v>1690687</v>
      </c>
      <c r="X59" s="16" t="n">
        <v>1209757</v>
      </c>
      <c r="Y59" s="16" t="n">
        <v>1038064</v>
      </c>
      <c r="Z59" s="16" t="n">
        <v>1136383</v>
      </c>
      <c r="AA59" s="7"/>
      <c r="AB59" s="7"/>
      <c r="AC59" s="16" t="n">
        <v>17246460</v>
      </c>
      <c r="AD59" s="16" t="n">
        <v>8460540</v>
      </c>
      <c r="AE59" s="16" t="n">
        <v>4053922</v>
      </c>
      <c r="AF59" s="16" t="n">
        <v>3069075</v>
      </c>
      <c r="AG59" s="16" t="n">
        <v>2667889</v>
      </c>
      <c r="AH59" s="16" t="n">
        <v>2481650</v>
      </c>
      <c r="AI59" s="8"/>
    </row>
    <row r="60" customFormat="false" ht="16.4" hidden="false" customHeight="false" outlineLevel="0" collapsed="false">
      <c r="B60" s="9"/>
      <c r="C60" s="14"/>
      <c r="D60" s="15" t="s">
        <v>30</v>
      </c>
      <c r="E60" s="16" t="n">
        <v>259259</v>
      </c>
      <c r="F60" s="16" t="n">
        <v>154870</v>
      </c>
      <c r="G60" s="16" t="n">
        <v>102073</v>
      </c>
      <c r="H60" s="16" t="n">
        <v>70561</v>
      </c>
      <c r="I60" s="16" t="n">
        <v>89540</v>
      </c>
      <c r="J60" s="16" t="n">
        <v>89384</v>
      </c>
      <c r="K60" s="7"/>
      <c r="L60" s="7"/>
      <c r="M60" s="16" t="n">
        <v>1746095</v>
      </c>
      <c r="N60" s="16" t="n">
        <v>905371</v>
      </c>
      <c r="O60" s="16" t="n">
        <v>484695</v>
      </c>
      <c r="P60" s="16" t="n">
        <v>409922</v>
      </c>
      <c r="Q60" s="16" t="n">
        <v>337880</v>
      </c>
      <c r="R60" s="16" t="n">
        <v>381425</v>
      </c>
      <c r="S60" s="7"/>
      <c r="T60" s="7"/>
      <c r="U60" s="16" t="n">
        <v>6135507</v>
      </c>
      <c r="V60" s="16" t="n">
        <v>3302357</v>
      </c>
      <c r="W60" s="16" t="n">
        <v>1685531</v>
      </c>
      <c r="X60" s="16" t="n">
        <v>1174473</v>
      </c>
      <c r="Y60" s="16" t="n">
        <v>1039185</v>
      </c>
      <c r="Z60" s="16" t="n">
        <v>1109445</v>
      </c>
      <c r="AA60" s="7"/>
      <c r="AB60" s="7"/>
      <c r="AC60" s="16" t="n">
        <v>15463948</v>
      </c>
      <c r="AD60" s="16" t="n">
        <v>8343261</v>
      </c>
      <c r="AE60" s="16" t="n">
        <v>4112265</v>
      </c>
      <c r="AF60" s="16" t="n">
        <v>2785798</v>
      </c>
      <c r="AG60" s="16" t="n">
        <v>2517127</v>
      </c>
      <c r="AH60" s="16" t="n">
        <v>2425002</v>
      </c>
      <c r="AI60" s="8"/>
    </row>
    <row r="61" customFormat="false" ht="16.4" hidden="false" customHeight="false" outlineLevel="0" collapsed="false">
      <c r="B61" s="9"/>
      <c r="C61" s="14"/>
      <c r="D61" s="15" t="s">
        <v>31</v>
      </c>
      <c r="E61" s="16" t="n">
        <v>263660</v>
      </c>
      <c r="F61" s="16" t="n">
        <v>185370</v>
      </c>
      <c r="G61" s="16" t="n">
        <v>106590</v>
      </c>
      <c r="H61" s="16" t="n">
        <v>83507</v>
      </c>
      <c r="I61" s="16" t="n">
        <v>78460</v>
      </c>
      <c r="J61" s="16" t="n">
        <v>85659</v>
      </c>
      <c r="K61" s="7"/>
      <c r="L61" s="7"/>
      <c r="M61" s="16" t="n">
        <v>1701896</v>
      </c>
      <c r="N61" s="16" t="n">
        <v>933985</v>
      </c>
      <c r="O61" s="16" t="n">
        <v>501739</v>
      </c>
      <c r="P61" s="16" t="n">
        <v>385874</v>
      </c>
      <c r="Q61" s="16" t="n">
        <v>365363</v>
      </c>
      <c r="R61" s="16" t="n">
        <v>349122</v>
      </c>
      <c r="S61" s="7"/>
      <c r="T61" s="7"/>
      <c r="U61" s="16" t="n">
        <v>5806286</v>
      </c>
      <c r="V61" s="16" t="n">
        <v>3281984</v>
      </c>
      <c r="W61" s="16" t="n">
        <v>1811781</v>
      </c>
      <c r="X61" s="16" t="n">
        <v>1168891</v>
      </c>
      <c r="Y61" s="16" t="n">
        <v>1042551</v>
      </c>
      <c r="Z61" s="16" t="n">
        <v>1071208</v>
      </c>
      <c r="AA61" s="7"/>
      <c r="AB61" s="7"/>
      <c r="AC61" s="16" t="n">
        <v>15784158</v>
      </c>
      <c r="AD61" s="16" t="n">
        <v>7709496</v>
      </c>
      <c r="AE61" s="16" t="n">
        <v>4194177</v>
      </c>
      <c r="AF61" s="16" t="n">
        <v>2912968</v>
      </c>
      <c r="AG61" s="16" t="n">
        <v>2557762</v>
      </c>
      <c r="AH61" s="16" t="n">
        <v>2461403</v>
      </c>
      <c r="AI61" s="8"/>
    </row>
    <row r="62" customFormat="false" ht="16.4" hidden="false" customHeight="false" outlineLevel="0" collapsed="false">
      <c r="B62" s="9"/>
      <c r="C62" s="14"/>
      <c r="D62" s="15" t="s">
        <v>32</v>
      </c>
      <c r="E62" s="16" t="n">
        <v>264088</v>
      </c>
      <c r="F62" s="16" t="n">
        <v>155401</v>
      </c>
      <c r="G62" s="16" t="n">
        <v>108316</v>
      </c>
      <c r="H62" s="16" t="n">
        <v>84499</v>
      </c>
      <c r="I62" s="16" t="n">
        <v>71273</v>
      </c>
      <c r="J62" s="16" t="n">
        <v>102272</v>
      </c>
      <c r="K62" s="7"/>
      <c r="L62" s="7"/>
      <c r="M62" s="16" t="n">
        <v>1505702</v>
      </c>
      <c r="N62" s="16" t="n">
        <v>920689</v>
      </c>
      <c r="O62" s="16" t="n">
        <v>491017</v>
      </c>
      <c r="P62" s="16" t="n">
        <v>373581</v>
      </c>
      <c r="Q62" s="16" t="n">
        <v>346485</v>
      </c>
      <c r="R62" s="16" t="n">
        <v>355089</v>
      </c>
      <c r="S62" s="7"/>
      <c r="T62" s="7"/>
      <c r="U62" s="16" t="n">
        <v>5867627</v>
      </c>
      <c r="V62" s="16" t="n">
        <v>3092955</v>
      </c>
      <c r="W62" s="16" t="n">
        <v>1649310</v>
      </c>
      <c r="X62" s="16" t="n">
        <v>1209519</v>
      </c>
      <c r="Y62" s="16" t="n">
        <v>1134602</v>
      </c>
      <c r="Z62" s="16" t="n">
        <v>1130898</v>
      </c>
      <c r="AA62" s="7"/>
      <c r="AB62" s="7"/>
      <c r="AC62" s="16" t="n">
        <v>17682732</v>
      </c>
      <c r="AD62" s="16" t="n">
        <v>8002867</v>
      </c>
      <c r="AE62" s="16" t="n">
        <v>3921849</v>
      </c>
      <c r="AF62" s="16" t="n">
        <v>3021083</v>
      </c>
      <c r="AG62" s="16" t="n">
        <v>2509093</v>
      </c>
      <c r="AH62" s="16" t="n">
        <v>2501129</v>
      </c>
      <c r="AI62" s="8"/>
    </row>
    <row r="63" customFormat="false" ht="16.4" hidden="false" customHeight="false" outlineLevel="0" collapsed="false">
      <c r="B63" s="9"/>
      <c r="C63" s="14"/>
      <c r="D63" s="15" t="s">
        <v>33</v>
      </c>
      <c r="E63" s="16" t="n">
        <v>299419</v>
      </c>
      <c r="F63" s="16" t="n">
        <v>182677</v>
      </c>
      <c r="G63" s="16" t="n">
        <v>100611</v>
      </c>
      <c r="H63" s="16" t="n">
        <v>82665</v>
      </c>
      <c r="I63" s="16" t="n">
        <v>85751</v>
      </c>
      <c r="J63" s="16" t="n">
        <v>84080</v>
      </c>
      <c r="K63" s="7"/>
      <c r="L63" s="7"/>
      <c r="M63" s="16" t="n">
        <v>1686593</v>
      </c>
      <c r="N63" s="16" t="n">
        <v>908475</v>
      </c>
      <c r="O63" s="16" t="n">
        <v>571017</v>
      </c>
      <c r="P63" s="16" t="n">
        <v>410190</v>
      </c>
      <c r="Q63" s="16" t="n">
        <v>343527</v>
      </c>
      <c r="R63" s="16" t="n">
        <v>340528</v>
      </c>
      <c r="S63" s="7"/>
      <c r="T63" s="7"/>
      <c r="U63" s="16" t="n">
        <v>5787735</v>
      </c>
      <c r="V63" s="16" t="n">
        <v>3552440</v>
      </c>
      <c r="W63" s="16" t="n">
        <v>1649471</v>
      </c>
      <c r="X63" s="16" t="n">
        <v>1239135</v>
      </c>
      <c r="Y63" s="16" t="n">
        <v>1077602</v>
      </c>
      <c r="Z63" s="16" t="n">
        <v>1105208</v>
      </c>
      <c r="AA63" s="7"/>
      <c r="AB63" s="7"/>
      <c r="AC63" s="16" t="n">
        <v>17222823</v>
      </c>
      <c r="AD63" s="16" t="n">
        <v>7590110</v>
      </c>
      <c r="AE63" s="16" t="n">
        <v>4113661</v>
      </c>
      <c r="AF63" s="16" t="n">
        <v>2951498</v>
      </c>
      <c r="AG63" s="16" t="n">
        <v>2456848</v>
      </c>
      <c r="AH63" s="16" t="n">
        <v>2530248</v>
      </c>
      <c r="AI63" s="8"/>
    </row>
    <row r="64" customFormat="false" ht="16.4" hidden="false" customHeight="false" outlineLevel="0" collapsed="false">
      <c r="B64" s="9"/>
      <c r="C64" s="14"/>
      <c r="D64" s="15" t="s">
        <v>34</v>
      </c>
      <c r="E64" s="16" t="n">
        <v>222671</v>
      </c>
      <c r="F64" s="16" t="n">
        <v>191568</v>
      </c>
      <c r="G64" s="16" t="n">
        <v>119348</v>
      </c>
      <c r="H64" s="16" t="n">
        <v>83535</v>
      </c>
      <c r="I64" s="16" t="n">
        <v>72730</v>
      </c>
      <c r="J64" s="16" t="n">
        <v>87466</v>
      </c>
      <c r="K64" s="7"/>
      <c r="L64" s="7"/>
      <c r="M64" s="16" t="n">
        <v>1733638</v>
      </c>
      <c r="N64" s="16" t="n">
        <v>905829</v>
      </c>
      <c r="O64" s="16" t="n">
        <v>556477</v>
      </c>
      <c r="P64" s="16" t="n">
        <v>402681</v>
      </c>
      <c r="Q64" s="16" t="n">
        <v>351213</v>
      </c>
      <c r="R64" s="16" t="n">
        <v>377568</v>
      </c>
      <c r="S64" s="7"/>
      <c r="T64" s="7"/>
      <c r="U64" s="16" t="n">
        <v>5773544</v>
      </c>
      <c r="V64" s="16" t="n">
        <v>3369601</v>
      </c>
      <c r="W64" s="16" t="n">
        <v>1701313</v>
      </c>
      <c r="X64" s="16" t="n">
        <v>1234734</v>
      </c>
      <c r="Y64" s="16" t="n">
        <v>1143269</v>
      </c>
      <c r="Z64" s="16" t="n">
        <v>1104558</v>
      </c>
      <c r="AA64" s="7"/>
      <c r="AB64" s="7"/>
      <c r="AC64" s="16" t="n">
        <v>17369699</v>
      </c>
      <c r="AD64" s="16" t="n">
        <v>7975286</v>
      </c>
      <c r="AE64" s="16" t="n">
        <v>3819735</v>
      </c>
      <c r="AF64" s="16" t="n">
        <v>3030373</v>
      </c>
      <c r="AG64" s="16" t="n">
        <v>2568187</v>
      </c>
      <c r="AH64" s="16" t="n">
        <v>2388528</v>
      </c>
      <c r="AI64" s="8"/>
    </row>
    <row r="65" customFormat="false" ht="16.4" hidden="false" customHeight="false" outlineLevel="0" collapsed="false">
      <c r="B65" s="9"/>
      <c r="C65" s="14"/>
      <c r="D65" s="15" t="s">
        <v>35</v>
      </c>
      <c r="E65" s="16" t="n">
        <v>215228</v>
      </c>
      <c r="F65" s="16" t="n">
        <v>157861</v>
      </c>
      <c r="G65" s="16" t="n">
        <v>103018</v>
      </c>
      <c r="H65" s="16" t="n">
        <v>81573</v>
      </c>
      <c r="I65" s="16" t="n">
        <v>73394</v>
      </c>
      <c r="J65" s="16" t="n">
        <v>88572</v>
      </c>
      <c r="K65" s="7"/>
      <c r="L65" s="7"/>
      <c r="M65" s="16" t="n">
        <v>1818336</v>
      </c>
      <c r="N65" s="16" t="n">
        <v>872724</v>
      </c>
      <c r="O65" s="16" t="n">
        <v>518947</v>
      </c>
      <c r="P65" s="16" t="n">
        <v>363267</v>
      </c>
      <c r="Q65" s="16" t="n">
        <v>338165</v>
      </c>
      <c r="R65" s="16" t="n">
        <v>387066</v>
      </c>
      <c r="S65" s="7"/>
      <c r="T65" s="7"/>
      <c r="U65" s="16" t="n">
        <v>5905541</v>
      </c>
      <c r="V65" s="16" t="n">
        <v>3464053</v>
      </c>
      <c r="W65" s="16" t="n">
        <v>1724641</v>
      </c>
      <c r="X65" s="16" t="n">
        <v>1256401</v>
      </c>
      <c r="Y65" s="16" t="n">
        <v>1039772</v>
      </c>
      <c r="Z65" s="16" t="n">
        <v>1109756</v>
      </c>
      <c r="AA65" s="7"/>
      <c r="AB65" s="7"/>
      <c r="AC65" s="16" t="n">
        <v>16567694</v>
      </c>
      <c r="AD65" s="16" t="n">
        <v>8420387</v>
      </c>
      <c r="AE65" s="16" t="n">
        <v>4048006</v>
      </c>
      <c r="AF65" s="16" t="n">
        <v>3199065</v>
      </c>
      <c r="AG65" s="16" t="n">
        <v>2417318</v>
      </c>
      <c r="AH65" s="16" t="n">
        <v>2470853</v>
      </c>
      <c r="AI65" s="8"/>
    </row>
    <row r="66" customFormat="false" ht="16.4" hidden="false" customHeight="false" outlineLevel="0" collapsed="false">
      <c r="B66" s="9"/>
      <c r="C66" s="14"/>
      <c r="D66" s="15" t="s">
        <v>36</v>
      </c>
      <c r="E66" s="16" t="n">
        <v>259717</v>
      </c>
      <c r="F66" s="16" t="n">
        <v>191232</v>
      </c>
      <c r="G66" s="16" t="n">
        <v>105198</v>
      </c>
      <c r="H66" s="16" t="n">
        <v>80819</v>
      </c>
      <c r="I66" s="16" t="n">
        <v>78879</v>
      </c>
      <c r="J66" s="16" t="n">
        <v>90739</v>
      </c>
      <c r="K66" s="7"/>
      <c r="L66" s="7"/>
      <c r="M66" s="16" t="n">
        <v>1718123</v>
      </c>
      <c r="N66" s="16" t="n">
        <v>877334</v>
      </c>
      <c r="O66" s="16" t="n">
        <v>535906</v>
      </c>
      <c r="P66" s="16" t="n">
        <v>362833</v>
      </c>
      <c r="Q66" s="16" t="n">
        <v>339113</v>
      </c>
      <c r="R66" s="16" t="n">
        <v>348011</v>
      </c>
      <c r="S66" s="7"/>
      <c r="T66" s="7"/>
      <c r="U66" s="16" t="n">
        <v>5891717</v>
      </c>
      <c r="V66" s="16" t="n">
        <v>3641172</v>
      </c>
      <c r="W66" s="16" t="n">
        <v>1592806</v>
      </c>
      <c r="X66" s="16" t="n">
        <v>1260826</v>
      </c>
      <c r="Y66" s="16" t="n">
        <v>1014949</v>
      </c>
      <c r="Z66" s="16" t="n">
        <v>1073358</v>
      </c>
      <c r="AA66" s="7"/>
      <c r="AB66" s="7"/>
      <c r="AC66" s="16" t="n">
        <v>16813386</v>
      </c>
      <c r="AD66" s="16" t="n">
        <v>7789366</v>
      </c>
      <c r="AE66" s="16" t="n">
        <v>3894564</v>
      </c>
      <c r="AF66" s="16" t="n">
        <v>3075489</v>
      </c>
      <c r="AG66" s="16" t="n">
        <v>2533689</v>
      </c>
      <c r="AH66" s="16" t="n">
        <v>2498217</v>
      </c>
      <c r="AI66" s="8"/>
    </row>
    <row r="67" customFormat="false" ht="16.4" hidden="false" customHeight="false" outlineLevel="0" collapsed="false">
      <c r="B67" s="9"/>
      <c r="C67" s="14"/>
      <c r="D67" s="15" t="s">
        <v>37</v>
      </c>
      <c r="E67" s="16" t="n">
        <v>255958</v>
      </c>
      <c r="F67" s="16" t="n">
        <v>116970</v>
      </c>
      <c r="G67" s="16" t="n">
        <v>116551</v>
      </c>
      <c r="H67" s="16" t="n">
        <v>91428</v>
      </c>
      <c r="I67" s="16" t="n">
        <v>79350</v>
      </c>
      <c r="J67" s="16" t="n">
        <v>93405</v>
      </c>
      <c r="K67" s="7"/>
      <c r="L67" s="7"/>
      <c r="M67" s="16" t="n">
        <v>1761649</v>
      </c>
      <c r="N67" s="16" t="n">
        <v>913747</v>
      </c>
      <c r="O67" s="16" t="n">
        <v>535449</v>
      </c>
      <c r="P67" s="16" t="n">
        <v>418116</v>
      </c>
      <c r="Q67" s="16" t="n">
        <v>361103</v>
      </c>
      <c r="R67" s="16" t="n">
        <v>347607</v>
      </c>
      <c r="S67" s="7"/>
      <c r="T67" s="7"/>
      <c r="U67" s="16" t="n">
        <v>5990046</v>
      </c>
      <c r="V67" s="16" t="n">
        <v>3271851</v>
      </c>
      <c r="W67" s="16" t="n">
        <v>1769420</v>
      </c>
      <c r="X67" s="16" t="n">
        <v>1215518</v>
      </c>
      <c r="Y67" s="16" t="n">
        <v>1031186</v>
      </c>
      <c r="Z67" s="16" t="n">
        <v>1077926</v>
      </c>
      <c r="AA67" s="7"/>
      <c r="AB67" s="7"/>
      <c r="AC67" s="16" t="n">
        <v>15957421</v>
      </c>
      <c r="AD67" s="16" t="n">
        <v>8877459</v>
      </c>
      <c r="AE67" s="16" t="n">
        <v>4444281</v>
      </c>
      <c r="AF67" s="16" t="n">
        <v>3115792</v>
      </c>
      <c r="AG67" s="16" t="n">
        <v>2543743</v>
      </c>
      <c r="AH67" s="16" t="n">
        <v>2480317</v>
      </c>
      <c r="AI67" s="8"/>
    </row>
    <row r="68" customFormat="false" ht="16.4" hidden="false" customHeight="false" outlineLevel="0" collapsed="false">
      <c r="B68" s="9"/>
      <c r="C68" s="14"/>
      <c r="D68" s="15" t="s">
        <v>38</v>
      </c>
      <c r="E68" s="16" t="n">
        <v>350994</v>
      </c>
      <c r="F68" s="16" t="n">
        <v>163616</v>
      </c>
      <c r="G68" s="16" t="n">
        <v>109045</v>
      </c>
      <c r="H68" s="16" t="n">
        <v>84929</v>
      </c>
      <c r="I68" s="16" t="n">
        <v>79445</v>
      </c>
      <c r="J68" s="16" t="n">
        <v>85361</v>
      </c>
      <c r="K68" s="7"/>
      <c r="L68" s="7"/>
      <c r="M68" s="16" t="n">
        <v>1984131</v>
      </c>
      <c r="N68" s="16" t="n">
        <v>1033384</v>
      </c>
      <c r="O68" s="16" t="n">
        <v>501197</v>
      </c>
      <c r="P68" s="16" t="n">
        <v>362170</v>
      </c>
      <c r="Q68" s="16" t="n">
        <v>331610</v>
      </c>
      <c r="R68" s="16" t="n">
        <v>349963</v>
      </c>
      <c r="S68" s="7"/>
      <c r="T68" s="7"/>
      <c r="U68" s="16" t="n">
        <v>6267188</v>
      </c>
      <c r="V68" s="16" t="n">
        <v>3230367</v>
      </c>
      <c r="W68" s="16" t="n">
        <v>1873632</v>
      </c>
      <c r="X68" s="16" t="n">
        <v>1203777</v>
      </c>
      <c r="Y68" s="16" t="n">
        <v>1020293</v>
      </c>
      <c r="Z68" s="16" t="n">
        <v>1065803</v>
      </c>
      <c r="AA68" s="7"/>
      <c r="AB68" s="7"/>
      <c r="AC68" s="16" t="n">
        <v>17564354</v>
      </c>
      <c r="AD68" s="16" t="n">
        <v>7824430</v>
      </c>
      <c r="AE68" s="16" t="n">
        <v>4394578</v>
      </c>
      <c r="AF68" s="16" t="n">
        <v>3009453</v>
      </c>
      <c r="AG68" s="16" t="n">
        <v>2671275</v>
      </c>
      <c r="AH68" s="16" t="n">
        <v>2407801</v>
      </c>
      <c r="AI68" s="8"/>
    </row>
    <row r="69" customFormat="false" ht="16.4" hidden="false" customHeight="false" outlineLevel="0" collapsed="false">
      <c r="B69" s="9"/>
      <c r="C69" s="14"/>
      <c r="D69" s="15" t="s">
        <v>39</v>
      </c>
      <c r="E69" s="16" t="n">
        <v>260686</v>
      </c>
      <c r="F69" s="16" t="n">
        <v>150501</v>
      </c>
      <c r="G69" s="16" t="n">
        <v>106126</v>
      </c>
      <c r="H69" s="16" t="n">
        <v>85349</v>
      </c>
      <c r="I69" s="16" t="n">
        <v>79027</v>
      </c>
      <c r="J69" s="16" t="n">
        <v>87282</v>
      </c>
      <c r="K69" s="7"/>
      <c r="L69" s="7"/>
      <c r="M69" s="16" t="n">
        <v>1778203</v>
      </c>
      <c r="N69" s="16" t="n">
        <v>931577</v>
      </c>
      <c r="O69" s="16" t="n">
        <v>558018</v>
      </c>
      <c r="P69" s="16" t="n">
        <v>413350</v>
      </c>
      <c r="Q69" s="16" t="n">
        <v>344529</v>
      </c>
      <c r="R69" s="16" t="n">
        <v>337625</v>
      </c>
      <c r="S69" s="7"/>
      <c r="T69" s="7"/>
      <c r="U69" s="16" t="n">
        <v>6278244</v>
      </c>
      <c r="V69" s="16" t="n">
        <v>3158928</v>
      </c>
      <c r="W69" s="16" t="n">
        <v>1774083</v>
      </c>
      <c r="X69" s="16" t="n">
        <v>1206728</v>
      </c>
      <c r="Y69" s="16" t="n">
        <v>1100783</v>
      </c>
      <c r="Z69" s="16" t="n">
        <v>1063035</v>
      </c>
      <c r="AA69" s="7"/>
      <c r="AB69" s="7"/>
      <c r="AC69" s="16" t="n">
        <v>17456497</v>
      </c>
      <c r="AD69" s="16" t="n">
        <v>8289503</v>
      </c>
      <c r="AE69" s="16" t="n">
        <v>4200642</v>
      </c>
      <c r="AF69" s="16" t="n">
        <v>3180976</v>
      </c>
      <c r="AG69" s="16" t="n">
        <v>2583024</v>
      </c>
      <c r="AH69" s="16" t="n">
        <v>2378053</v>
      </c>
      <c r="AI69" s="8"/>
    </row>
    <row r="70" customFormat="false" ht="16.4" hidden="false" customHeight="false" outlineLevel="0" collapsed="false">
      <c r="B70" s="9"/>
      <c r="C70" s="14"/>
      <c r="D70" s="15" t="s">
        <v>40</v>
      </c>
      <c r="E70" s="16" t="n">
        <v>271532</v>
      </c>
      <c r="F70" s="16" t="n">
        <v>156510</v>
      </c>
      <c r="G70" s="16" t="n">
        <v>104777</v>
      </c>
      <c r="H70" s="16" t="n">
        <v>76052</v>
      </c>
      <c r="I70" s="16" t="n">
        <v>76472</v>
      </c>
      <c r="J70" s="16" t="n">
        <v>76061</v>
      </c>
      <c r="K70" s="7"/>
      <c r="L70" s="7"/>
      <c r="M70" s="16" t="n">
        <v>1789180</v>
      </c>
      <c r="N70" s="16" t="n">
        <v>1028820</v>
      </c>
      <c r="O70" s="16" t="n">
        <v>519914</v>
      </c>
      <c r="P70" s="16" t="n">
        <v>365846</v>
      </c>
      <c r="Q70" s="16" t="n">
        <v>346131</v>
      </c>
      <c r="R70" s="16" t="n">
        <v>384425</v>
      </c>
      <c r="S70" s="7"/>
      <c r="T70" s="7"/>
      <c r="U70" s="16" t="n">
        <v>5898863</v>
      </c>
      <c r="V70" s="16" t="n">
        <v>3481550</v>
      </c>
      <c r="W70" s="16" t="n">
        <v>1559546</v>
      </c>
      <c r="X70" s="16" t="n">
        <v>1214973</v>
      </c>
      <c r="Y70" s="16" t="n">
        <v>1018795</v>
      </c>
      <c r="Z70" s="16" t="n">
        <v>1081058</v>
      </c>
      <c r="AA70" s="7"/>
      <c r="AB70" s="7"/>
      <c r="AC70" s="16" t="n">
        <v>18543922</v>
      </c>
      <c r="AD70" s="16" t="n">
        <v>7614004</v>
      </c>
      <c r="AE70" s="16" t="n">
        <v>4742250</v>
      </c>
      <c r="AF70" s="16" t="n">
        <v>3321495</v>
      </c>
      <c r="AG70" s="16" t="n">
        <v>2559462</v>
      </c>
      <c r="AH70" s="16" t="n">
        <v>2319403</v>
      </c>
      <c r="AI70" s="8"/>
    </row>
    <row r="71" customFormat="false" ht="14.25" hidden="false" customHeight="false" outlineLevel="0" collapsed="false">
      <c r="B71" s="9"/>
      <c r="C71" s="18"/>
      <c r="D71" s="19" t="s">
        <v>41</v>
      </c>
      <c r="E71" s="20" t="n">
        <f aca="false" t="array" ref="E71:E71">ROUND(AVERAGE(IF((ISNUMBER(E41:E70))*(E41:E70&lt;LARGE(E41:E70,2))*(E41:E70&gt;SMALL(E41:E70,2)),E41:E70)),0)</f>
        <v>266951</v>
      </c>
      <c r="F71" s="20" t="n">
        <f aca="false" t="array" ref="F71:F71">ROUND(AVERAGE(IF((ISNUMBER(F41:F70))*(F41:F70&lt;LARGE(F41:F70,2))*(F41:F70&gt;SMALL(F41:F70,2)),F41:F70)),0)</f>
        <v>165855</v>
      </c>
      <c r="G71" s="20" t="n">
        <f aca="false" t="array" ref="G71:G71">ROUND(AVERAGE(IF((ISNUMBER(G41:G70))*(G41:G70&lt;LARGE(G41:G70,2))*(G41:G70&gt;SMALL(G41:G70,2)),G41:G70)),0)</f>
        <v>107265</v>
      </c>
      <c r="H71" s="20" t="n">
        <f aca="false" t="array" ref="H71:H71">ROUND(AVERAGE(IF((ISNUMBER(H41:H70))*(H41:H70&lt;LARGE(H41:H70,2))*(H41:H70&gt;SMALL(H41:H70,2)),H41:H70)),0)</f>
        <v>83671</v>
      </c>
      <c r="I71" s="20" t="n">
        <f aca="false" t="array" ref="I71:I71">ROUND(AVERAGE(IF((ISNUMBER(I41:I70))*(I41:I70&lt;LARGE(I41:I70,2))*(I41:I70&gt;SMALL(I41:I70,2)),I41:I70)),0)</f>
        <v>77300</v>
      </c>
      <c r="J71" s="20" t="n">
        <f aca="false" t="array" ref="J71:J71">ROUND(AVERAGE(IF((ISNUMBER(J41:J70))*(J41:J70&lt;LARGE(J41:J70,2))*(J41:J70&gt;SMALL(J41:J70,2)),J41:J70)),0)</f>
        <v>85127</v>
      </c>
      <c r="K71" s="20"/>
      <c r="L71" s="20"/>
      <c r="M71" s="20" t="n">
        <f aca="false" t="array" ref="M71:M71">ROUND(AVERAGE(IF((ISNUMBER(M41:M70))*(M41:M70&lt;LARGE(M41:M70,2))*(M41:M70&gt;SMALL(M41:M70,2)),M41:M70)),0)</f>
        <v>1765416</v>
      </c>
      <c r="N71" s="20" t="n">
        <f aca="false" t="array" ref="N71:N71">ROUND(AVERAGE(IF((ISNUMBER(N41:N70))*(N41:N70&lt;LARGE(N41:N70,2))*(N41:N70&gt;SMALL(N41:N70,2)),N41:N70)),0)</f>
        <v>914375</v>
      </c>
      <c r="O71" s="20" t="n">
        <f aca="false" t="array" ref="O71:O71">ROUND(AVERAGE(IF((ISNUMBER(O41:O70))*(O41:O70&lt;LARGE(O41:O70,2))*(O41:O70&gt;SMALL(O41:O70,2)),O41:O70)),0)</f>
        <v>526673</v>
      </c>
      <c r="P71" s="20" t="n">
        <f aca="false" t="array" ref="P71:P71">ROUND(AVERAGE(IF((ISNUMBER(P41:P70))*(P41:P70&lt;LARGE(P41:P70,2))*(P41:P70&gt;SMALL(P41:P70,2)),P41:P70)),0)</f>
        <v>381269</v>
      </c>
      <c r="Q71" s="20" t="n">
        <f aca="false" t="array" ref="Q71:Q71">ROUND(AVERAGE(IF((ISNUMBER(Q41:Q70))*(Q41:Q70&lt;LARGE(Q41:Q70,2))*(Q41:Q70&gt;SMALL(Q41:Q70,2)),Q41:Q70)),0)</f>
        <v>341132</v>
      </c>
      <c r="R71" s="20" t="n">
        <f aca="false" t="array" ref="R71:R71">ROUND(AVERAGE(IF((ISNUMBER(R41:R70))*(R41:R70&lt;LARGE(R41:R70,2))*(R41:R70&gt;SMALL(R41:R70,2)),R41:R70)),0)</f>
        <v>354261</v>
      </c>
      <c r="S71" s="20"/>
      <c r="T71" s="20"/>
      <c r="U71" s="20" t="n">
        <f aca="false" t="array" ref="U71:U71">ROUND(AVERAGE(IF((ISNUMBER(U41:U70))*(U41:U70&lt;LARGE(U41:U70,2))*(U41:U70&gt;SMALL(U41:U70,2)),U41:U70)),0)</f>
        <v>6208244</v>
      </c>
      <c r="V71" s="20" t="n">
        <f aca="false" t="array" ref="V71:V71">ROUND(AVERAGE(IF((ISNUMBER(V41:V70))*(V41:V70&lt;LARGE(V41:V70,2))*(V41:V70&gt;SMALL(V41:V70,2)),V41:V70)),0)</f>
        <v>3171813</v>
      </c>
      <c r="W71" s="20" t="n">
        <f aca="false" t="array" ref="W71:W71">ROUND(AVERAGE(IF((ISNUMBER(W41:W70))*(W41:W70&lt;LARGE(W41:W70,2))*(W41:W70&gt;SMALL(W41:W70,2)),W41:W70)),0)</f>
        <v>1665234</v>
      </c>
      <c r="X71" s="20" t="n">
        <f aca="false" t="array" ref="X71:X71">ROUND(AVERAGE(IF((ISNUMBER(X41:X70))*(X41:X70&lt;LARGE(X41:X70,2))*(X41:X70&gt;SMALL(X41:X70,2)),X41:X70)),0)</f>
        <v>1219073</v>
      </c>
      <c r="Y71" s="20" t="n">
        <f aca="false" t="array" ref="Y71:Y71">ROUND(AVERAGE(IF((ISNUMBER(Y41:Y70))*(Y41:Y70&lt;LARGE(Y41:Y70,2))*(Y41:Y70&gt;SMALL(Y41:Y70,2)),Y41:Y70)),0)</f>
        <v>1062871</v>
      </c>
      <c r="Z71" s="20" t="n">
        <f aca="false" t="array" ref="Z71:Z71">ROUND(AVERAGE(IF((ISNUMBER(Z41:Z70))*(Z41:Z70&lt;LARGE(Z41:Z70,2))*(Z41:Z70&gt;SMALL(Z41:Z70,2)),Z41:Z70)),0)</f>
        <v>1083171</v>
      </c>
      <c r="AA71" s="20"/>
      <c r="AB71" s="20"/>
      <c r="AC71" s="20" t="n">
        <f aca="false" t="array" ref="AC71:AC71">ROUND(AVERAGE(IF((ISNUMBER(AC41:AC70))*(AC41:AC70&lt;LARGE(AC41:AC70,2))*(AC41:AC70&gt;SMALL(AC41:AC70,2)),AC41:AC70)),0)</f>
        <v>16441487</v>
      </c>
      <c r="AD71" s="20" t="n">
        <f aca="false" t="array" ref="AD71:AD71">ROUND(AVERAGE(IF((ISNUMBER(AD41:AD70))*(AD41:AD70&lt;LARGE(AD41:AD70,2))*(AD41:AD70&gt;SMALL(AD41:AD70,2)),AD41:AD70)),0)</f>
        <v>8220973</v>
      </c>
      <c r="AE71" s="20" t="n">
        <f aca="false" t="array" ref="AE71:AE71">ROUND(AVERAGE(IF((ISNUMBER(AE41:AE70))*(AE41:AE70&lt;LARGE(AE41:AE70,2))*(AE41:AE70&gt;SMALL(AE41:AE70,2)),AE41:AE70)),0)</f>
        <v>4302703</v>
      </c>
      <c r="AF71" s="20" t="n">
        <f aca="false" t="array" ref="AF71:AF71">ROUND(AVERAGE(IF((ISNUMBER(AF41:AF70))*(AF41:AF70&lt;LARGE(AF41:AF70,2))*(AF41:AF70&gt;SMALL(AF41:AF70,2)),AF41:AF70)),0)</f>
        <v>3057196</v>
      </c>
      <c r="AG71" s="20" t="n">
        <f aca="false" t="array" ref="AG71:AG71">ROUND(AVERAGE(IF((ISNUMBER(AG41:AG70))*(AG41:AG70&lt;LARGE(AG41:AG70,2))*(AG41:AG70&gt;SMALL(AG41:AG70,2)),AG41:AG70)),0)</f>
        <v>2647205</v>
      </c>
      <c r="AH71" s="21" t="n">
        <f aca="false" t="array" ref="AH71:AH71">ROUND(AVERAGE(IF((ISNUMBER(AH41:AH70))*(AH41:AH70&lt;LARGE(AH41:AH70,2))*(AH41:AH70&gt;SMALL(AH41:AH70,2)),AH41:AH70)),0)</f>
        <v>2492858</v>
      </c>
      <c r="AI71" s="8"/>
    </row>
    <row r="72" customFormat="false" ht="14.25" hidden="false" customHeight="false" outlineLevel="0" collapsed="false"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5"/>
    </row>
    <row r="73" customFormat="false" ht="14.25" hidden="false" customHeight="false" outlineLevel="0" collapsed="false">
      <c r="B73" s="26"/>
      <c r="C73" s="7"/>
      <c r="D73" s="1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customFormat="false" ht="33.85" hidden="false" customHeight="false" outlineLevel="0" collapsed="false">
      <c r="B74" s="1" t="s">
        <v>44</v>
      </c>
      <c r="C74" s="2"/>
      <c r="D74" s="2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4"/>
    </row>
    <row r="75" customFormat="false" ht="14.25" hidden="false" customHeight="false" outlineLevel="0" collapsed="false">
      <c r="B75" s="5"/>
      <c r="C75" s="6"/>
      <c r="D75" s="2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8"/>
    </row>
    <row r="76" customFormat="false" ht="14.25" hidden="false" customHeight="false" outlineLevel="0" collapsed="false">
      <c r="B76" s="9"/>
      <c r="C76" s="10" t="s">
        <v>1</v>
      </c>
      <c r="D76" s="11"/>
      <c r="E76" s="11" t="s">
        <v>2</v>
      </c>
      <c r="F76" s="11" t="s">
        <v>3</v>
      </c>
      <c r="G76" s="11" t="s">
        <v>4</v>
      </c>
      <c r="H76" s="11" t="s">
        <v>5</v>
      </c>
      <c r="I76" s="11" t="s">
        <v>6</v>
      </c>
      <c r="J76" s="11" t="s">
        <v>7</v>
      </c>
      <c r="K76" s="12" t="s">
        <v>8</v>
      </c>
      <c r="L76" s="12"/>
      <c r="M76" s="11" t="s">
        <v>2</v>
      </c>
      <c r="N76" s="11" t="s">
        <v>3</v>
      </c>
      <c r="O76" s="11" t="s">
        <v>4</v>
      </c>
      <c r="P76" s="11" t="s">
        <v>5</v>
      </c>
      <c r="Q76" s="11" t="s">
        <v>6</v>
      </c>
      <c r="R76" s="11" t="s">
        <v>7</v>
      </c>
      <c r="S76" s="12" t="s">
        <v>43</v>
      </c>
      <c r="T76" s="12"/>
      <c r="U76" s="11" t="s">
        <v>2</v>
      </c>
      <c r="V76" s="11" t="s">
        <v>3</v>
      </c>
      <c r="W76" s="11" t="s">
        <v>4</v>
      </c>
      <c r="X76" s="11" t="s">
        <v>5</v>
      </c>
      <c r="Y76" s="11" t="s">
        <v>6</v>
      </c>
      <c r="Z76" s="11" t="s">
        <v>7</v>
      </c>
      <c r="AA76" s="12" t="s">
        <v>45</v>
      </c>
      <c r="AB76" s="12"/>
      <c r="AC76" s="11" t="s">
        <v>2</v>
      </c>
      <c r="AD76" s="11" t="s">
        <v>3</v>
      </c>
      <c r="AE76" s="11" t="s">
        <v>4</v>
      </c>
      <c r="AF76" s="11" t="s">
        <v>5</v>
      </c>
      <c r="AG76" s="11" t="s">
        <v>6</v>
      </c>
      <c r="AH76" s="13" t="s">
        <v>7</v>
      </c>
      <c r="AI76" s="8"/>
    </row>
    <row r="77" customFormat="false" ht="16.4" hidden="false" customHeight="false" outlineLevel="0" collapsed="false">
      <c r="B77" s="9"/>
      <c r="C77" s="14"/>
      <c r="D77" s="15" t="s">
        <v>11</v>
      </c>
      <c r="E77" s="16" t="n">
        <v>323212</v>
      </c>
      <c r="F77" s="16" t="n">
        <v>279110</v>
      </c>
      <c r="G77" s="16" t="n">
        <v>120728</v>
      </c>
      <c r="H77" s="16" t="n">
        <v>95650</v>
      </c>
      <c r="I77" s="16" t="n">
        <v>85657</v>
      </c>
      <c r="J77" s="16" t="n">
        <v>83367</v>
      </c>
      <c r="K77" s="7"/>
      <c r="L77" s="7"/>
      <c r="M77" s="16" t="n">
        <v>3367237</v>
      </c>
      <c r="N77" s="16" t="n">
        <v>1887265</v>
      </c>
      <c r="O77" s="16" t="n">
        <v>985000</v>
      </c>
      <c r="P77" s="16" t="n">
        <v>663574</v>
      </c>
      <c r="Q77" s="16" t="n">
        <v>524683</v>
      </c>
      <c r="R77" s="16" t="n">
        <v>462216</v>
      </c>
      <c r="S77" s="7"/>
      <c r="T77" s="7"/>
      <c r="U77" s="16" t="n">
        <v>13431859</v>
      </c>
      <c r="V77" s="16" t="n">
        <v>6963550</v>
      </c>
      <c r="W77" s="16" t="n">
        <v>3562542</v>
      </c>
      <c r="X77" s="16" t="n">
        <v>2611546</v>
      </c>
      <c r="Y77" s="16" t="n">
        <v>2442498</v>
      </c>
      <c r="Z77" s="16" t="n">
        <v>2048229</v>
      </c>
      <c r="AA77" s="7"/>
      <c r="AB77" s="7"/>
      <c r="AC77" s="16" t="n">
        <v>102728321</v>
      </c>
      <c r="AD77" s="16" t="n">
        <v>53175474</v>
      </c>
      <c r="AE77" s="16" t="n">
        <v>27601797</v>
      </c>
      <c r="AF77" s="16" t="n">
        <v>20292910</v>
      </c>
      <c r="AG77" s="16" t="n">
        <v>18195276</v>
      </c>
      <c r="AH77" s="16" t="n">
        <v>17223132</v>
      </c>
      <c r="AI77" s="8"/>
    </row>
    <row r="78" customFormat="false" ht="16.4" hidden="false" customHeight="false" outlineLevel="0" collapsed="false">
      <c r="B78" s="9"/>
      <c r="C78" s="14"/>
      <c r="D78" s="15" t="s">
        <v>12</v>
      </c>
      <c r="E78" s="16" t="n">
        <v>370589</v>
      </c>
      <c r="F78" s="16" t="n">
        <v>223365</v>
      </c>
      <c r="G78" s="16" t="n">
        <v>115614</v>
      </c>
      <c r="H78" s="16" t="n">
        <v>92740</v>
      </c>
      <c r="I78" s="16" t="n">
        <v>83092</v>
      </c>
      <c r="J78" s="16" t="n">
        <v>82019</v>
      </c>
      <c r="K78" s="7"/>
      <c r="L78" s="7"/>
      <c r="M78" s="16" t="n">
        <v>3490906</v>
      </c>
      <c r="N78" s="16" t="n">
        <v>1675515</v>
      </c>
      <c r="O78" s="16" t="n">
        <v>979914</v>
      </c>
      <c r="P78" s="16" t="n">
        <v>594647</v>
      </c>
      <c r="Q78" s="16" t="n">
        <v>492509</v>
      </c>
      <c r="R78" s="16" t="n">
        <v>476916</v>
      </c>
      <c r="S78" s="7"/>
      <c r="T78" s="7"/>
      <c r="U78" s="16" t="n">
        <v>14150641</v>
      </c>
      <c r="V78" s="16" t="n">
        <v>6987188</v>
      </c>
      <c r="W78" s="16" t="n">
        <v>4292057</v>
      </c>
      <c r="X78" s="16" t="n">
        <v>2804576</v>
      </c>
      <c r="Y78" s="16" t="n">
        <v>2236642</v>
      </c>
      <c r="Z78" s="16" t="n">
        <v>2080104</v>
      </c>
      <c r="AA78" s="7"/>
      <c r="AB78" s="7"/>
      <c r="AC78" s="16" t="n">
        <v>113496502</v>
      </c>
      <c r="AD78" s="16" t="n">
        <v>55138505</v>
      </c>
      <c r="AE78" s="16" t="n">
        <v>27994918</v>
      </c>
      <c r="AF78" s="16" t="n">
        <v>20151236</v>
      </c>
      <c r="AG78" s="16" t="n">
        <v>18166643</v>
      </c>
      <c r="AH78" s="16" t="n">
        <v>17723800</v>
      </c>
      <c r="AI78" s="8"/>
    </row>
    <row r="79" customFormat="false" ht="16.4" hidden="false" customHeight="false" outlineLevel="0" collapsed="false">
      <c r="B79" s="9"/>
      <c r="C79" s="14"/>
      <c r="D79" s="15" t="s">
        <v>13</v>
      </c>
      <c r="E79" s="16" t="n">
        <v>351939</v>
      </c>
      <c r="F79" s="16" t="n">
        <v>201037</v>
      </c>
      <c r="G79" s="16" t="n">
        <v>140927</v>
      </c>
      <c r="H79" s="16" t="n">
        <v>88375</v>
      </c>
      <c r="I79" s="16" t="n">
        <v>80751</v>
      </c>
      <c r="J79" s="16" t="n">
        <v>82206</v>
      </c>
      <c r="K79" s="7"/>
      <c r="L79" s="7"/>
      <c r="M79" s="16" t="n">
        <v>3446318</v>
      </c>
      <c r="N79" s="16" t="n">
        <v>1865662</v>
      </c>
      <c r="O79" s="16" t="n">
        <v>830082</v>
      </c>
      <c r="P79" s="16" t="n">
        <v>531171</v>
      </c>
      <c r="Q79" s="16" t="n">
        <v>502655</v>
      </c>
      <c r="R79" s="16" t="n">
        <v>456354</v>
      </c>
      <c r="S79" s="7"/>
      <c r="T79" s="7"/>
      <c r="U79" s="16" t="n">
        <v>14511592</v>
      </c>
      <c r="V79" s="16" t="n">
        <v>7599165</v>
      </c>
      <c r="W79" s="16" t="n">
        <v>3554822</v>
      </c>
      <c r="X79" s="16" t="n">
        <v>2573753</v>
      </c>
      <c r="Y79" s="16" t="n">
        <v>2013913</v>
      </c>
      <c r="Z79" s="16" t="n">
        <v>2255374</v>
      </c>
      <c r="AA79" s="7"/>
      <c r="AB79" s="7"/>
      <c r="AC79" s="16" t="n">
        <v>106408479</v>
      </c>
      <c r="AD79" s="16" t="n">
        <v>55221356</v>
      </c>
      <c r="AE79" s="16" t="n">
        <v>27327246</v>
      </c>
      <c r="AF79" s="16" t="n">
        <v>19056744</v>
      </c>
      <c r="AG79" s="16" t="n">
        <v>19607659</v>
      </c>
      <c r="AH79" s="16" t="n">
        <v>17507830</v>
      </c>
      <c r="AI79" s="8"/>
    </row>
    <row r="80" customFormat="false" ht="16.4" hidden="false" customHeight="false" outlineLevel="0" collapsed="false">
      <c r="B80" s="9"/>
      <c r="C80" s="14"/>
      <c r="D80" s="15" t="s">
        <v>14</v>
      </c>
      <c r="E80" s="16" t="n">
        <v>378555</v>
      </c>
      <c r="F80" s="16" t="n">
        <v>237006</v>
      </c>
      <c r="G80" s="16" t="n">
        <v>131989</v>
      </c>
      <c r="H80" s="16" t="n">
        <v>95148</v>
      </c>
      <c r="I80" s="16" t="n">
        <v>89174</v>
      </c>
      <c r="J80" s="16" t="n">
        <v>74551</v>
      </c>
      <c r="K80" s="7"/>
      <c r="L80" s="7"/>
      <c r="M80" s="16" t="n">
        <v>3452564</v>
      </c>
      <c r="N80" s="16" t="n">
        <v>1831551</v>
      </c>
      <c r="O80" s="16" t="n">
        <v>891382</v>
      </c>
      <c r="P80" s="16" t="n">
        <v>524592</v>
      </c>
      <c r="Q80" s="16" t="n">
        <v>520137</v>
      </c>
      <c r="R80" s="16" t="n">
        <v>408161</v>
      </c>
      <c r="S80" s="7"/>
      <c r="T80" s="7"/>
      <c r="U80" s="16" t="n">
        <v>14051767</v>
      </c>
      <c r="V80" s="16" t="n">
        <v>8409542</v>
      </c>
      <c r="W80" s="16" t="n">
        <v>3184674</v>
      </c>
      <c r="X80" s="16" t="n">
        <v>2817030</v>
      </c>
      <c r="Y80" s="16" t="n">
        <v>2080633</v>
      </c>
      <c r="Z80" s="16" t="n">
        <v>2017028</v>
      </c>
      <c r="AA80" s="7"/>
      <c r="AB80" s="7"/>
      <c r="AC80" s="16" t="n">
        <v>112352142</v>
      </c>
      <c r="AD80" s="16" t="n">
        <v>51804678</v>
      </c>
      <c r="AE80" s="16" t="n">
        <v>27389569</v>
      </c>
      <c r="AF80" s="16" t="n">
        <v>18829553</v>
      </c>
      <c r="AG80" s="16" t="n">
        <v>19041124</v>
      </c>
      <c r="AH80" s="16" t="n">
        <v>17049959</v>
      </c>
      <c r="AI80" s="8"/>
    </row>
    <row r="81" customFormat="false" ht="16.4" hidden="false" customHeight="false" outlineLevel="0" collapsed="false">
      <c r="B81" s="9"/>
      <c r="C81" s="14"/>
      <c r="D81" s="15" t="s">
        <v>15</v>
      </c>
      <c r="E81" s="16" t="n">
        <v>362957</v>
      </c>
      <c r="F81" s="16" t="n">
        <v>175687</v>
      </c>
      <c r="G81" s="16" t="n">
        <v>127760</v>
      </c>
      <c r="H81" s="16" t="n">
        <v>91834</v>
      </c>
      <c r="I81" s="16" t="n">
        <v>86267</v>
      </c>
      <c r="J81" s="16" t="n">
        <v>81565</v>
      </c>
      <c r="K81" s="7"/>
      <c r="L81" s="7"/>
      <c r="M81" s="16" t="n">
        <v>3128734</v>
      </c>
      <c r="N81" s="16" t="n">
        <v>1384477</v>
      </c>
      <c r="O81" s="16" t="n">
        <v>818001</v>
      </c>
      <c r="P81" s="16" t="n">
        <v>492642</v>
      </c>
      <c r="Q81" s="16" t="n">
        <v>488472</v>
      </c>
      <c r="R81" s="16" t="n">
        <v>457044</v>
      </c>
      <c r="S81" s="7"/>
      <c r="T81" s="7"/>
      <c r="U81" s="16" t="n">
        <v>13128270</v>
      </c>
      <c r="V81" s="16" t="n">
        <v>6224168</v>
      </c>
      <c r="W81" s="16" t="n">
        <v>3369915</v>
      </c>
      <c r="X81" s="16" t="n">
        <v>2809132</v>
      </c>
      <c r="Y81" s="16" t="n">
        <v>2298595</v>
      </c>
      <c r="Z81" s="16" t="n">
        <v>2206792</v>
      </c>
      <c r="AA81" s="7"/>
      <c r="AB81" s="7"/>
      <c r="AC81" s="16" t="n">
        <v>112503852</v>
      </c>
      <c r="AD81" s="16" t="n">
        <v>57785349</v>
      </c>
      <c r="AE81" s="16" t="n">
        <v>27313915</v>
      </c>
      <c r="AF81" s="16" t="n">
        <v>20746290</v>
      </c>
      <c r="AG81" s="16" t="n">
        <v>18841262</v>
      </c>
      <c r="AH81" s="16" t="n">
        <v>16718370</v>
      </c>
      <c r="AI81" s="8"/>
    </row>
    <row r="82" customFormat="false" ht="16.4" hidden="false" customHeight="false" outlineLevel="0" collapsed="false">
      <c r="B82" s="9"/>
      <c r="C82" s="14"/>
      <c r="D82" s="15" t="s">
        <v>16</v>
      </c>
      <c r="E82" s="16" t="n">
        <v>342671</v>
      </c>
      <c r="F82" s="16" t="n">
        <v>198928</v>
      </c>
      <c r="G82" s="16" t="n">
        <v>115719</v>
      </c>
      <c r="H82" s="16" t="n">
        <v>89689</v>
      </c>
      <c r="I82" s="16" t="n">
        <v>88268</v>
      </c>
      <c r="J82" s="16" t="n">
        <v>87680</v>
      </c>
      <c r="K82" s="7"/>
      <c r="L82" s="7"/>
      <c r="M82" s="16" t="n">
        <v>3155809</v>
      </c>
      <c r="N82" s="16" t="n">
        <v>1540284</v>
      </c>
      <c r="O82" s="16" t="n">
        <v>848084</v>
      </c>
      <c r="P82" s="16" t="n">
        <v>561934</v>
      </c>
      <c r="Q82" s="16" t="n">
        <v>487149</v>
      </c>
      <c r="R82" s="16" t="n">
        <v>447530</v>
      </c>
      <c r="S82" s="7"/>
      <c r="T82" s="7"/>
      <c r="U82" s="16" t="n">
        <v>14006763</v>
      </c>
      <c r="V82" s="16" t="n">
        <v>6404234</v>
      </c>
      <c r="W82" s="16" t="n">
        <v>3329095</v>
      </c>
      <c r="X82" s="16" t="n">
        <v>2394706</v>
      </c>
      <c r="Y82" s="16" t="n">
        <v>2142317</v>
      </c>
      <c r="Z82" s="16" t="n">
        <v>2070941</v>
      </c>
      <c r="AA82" s="7"/>
      <c r="AB82" s="7"/>
      <c r="AC82" s="16" t="n">
        <v>111110314</v>
      </c>
      <c r="AD82" s="16" t="n">
        <v>55804630</v>
      </c>
      <c r="AE82" s="16" t="n">
        <v>27384879</v>
      </c>
      <c r="AF82" s="16" t="n">
        <v>20665426</v>
      </c>
      <c r="AG82" s="16" t="n">
        <v>17641225</v>
      </c>
      <c r="AH82" s="16" t="n">
        <v>17553256</v>
      </c>
      <c r="AI82" s="8"/>
    </row>
    <row r="83" customFormat="false" ht="16.4" hidden="false" customHeight="false" outlineLevel="0" collapsed="false">
      <c r="B83" s="9"/>
      <c r="C83" s="14"/>
      <c r="D83" s="15" t="s">
        <v>17</v>
      </c>
      <c r="E83" s="16" t="n">
        <v>331083</v>
      </c>
      <c r="F83" s="16" t="n">
        <v>191988</v>
      </c>
      <c r="G83" s="16" t="n">
        <v>133497</v>
      </c>
      <c r="H83" s="16" t="n">
        <v>93173</v>
      </c>
      <c r="I83" s="16" t="n">
        <v>83002</v>
      </c>
      <c r="J83" s="16" t="n">
        <v>74892</v>
      </c>
      <c r="K83" s="7"/>
      <c r="L83" s="7"/>
      <c r="M83" s="16" t="n">
        <v>3253312</v>
      </c>
      <c r="N83" s="16" t="n">
        <v>1579662</v>
      </c>
      <c r="O83" s="16" t="n">
        <v>907814</v>
      </c>
      <c r="P83" s="16" t="n">
        <v>512248</v>
      </c>
      <c r="Q83" s="16" t="n">
        <v>471893</v>
      </c>
      <c r="R83" s="16" t="n">
        <v>453929</v>
      </c>
      <c r="S83" s="7"/>
      <c r="T83" s="7"/>
      <c r="U83" s="16" t="n">
        <v>14041862</v>
      </c>
      <c r="V83" s="16" t="n">
        <v>7609577</v>
      </c>
      <c r="W83" s="16" t="n">
        <v>3793181</v>
      </c>
      <c r="X83" s="16" t="n">
        <v>2382598</v>
      </c>
      <c r="Y83" s="16" t="n">
        <v>2245838</v>
      </c>
      <c r="Z83" s="16" t="n">
        <v>2184749</v>
      </c>
      <c r="AA83" s="7"/>
      <c r="AB83" s="7"/>
      <c r="AC83" s="16" t="n">
        <v>117152023</v>
      </c>
      <c r="AD83" s="16" t="n">
        <v>54482774</v>
      </c>
      <c r="AE83" s="16" t="n">
        <v>28699203</v>
      </c>
      <c r="AF83" s="16" t="n">
        <v>18073871</v>
      </c>
      <c r="AG83" s="16" t="n">
        <v>17258059</v>
      </c>
      <c r="AH83" s="16" t="n">
        <v>17394912</v>
      </c>
      <c r="AI83" s="8"/>
    </row>
    <row r="84" customFormat="false" ht="16.4" hidden="false" customHeight="false" outlineLevel="0" collapsed="false">
      <c r="B84" s="9"/>
      <c r="C84" s="14"/>
      <c r="D84" s="15" t="s">
        <v>18</v>
      </c>
      <c r="E84" s="16" t="n">
        <v>333213</v>
      </c>
      <c r="F84" s="16" t="n">
        <v>195995</v>
      </c>
      <c r="G84" s="16" t="n">
        <v>134316</v>
      </c>
      <c r="H84" s="16" t="n">
        <v>87608</v>
      </c>
      <c r="I84" s="16" t="n">
        <v>79676</v>
      </c>
      <c r="J84" s="16" t="n">
        <v>77509</v>
      </c>
      <c r="K84" s="7"/>
      <c r="L84" s="7"/>
      <c r="M84" s="16" t="n">
        <v>2479573</v>
      </c>
      <c r="N84" s="16" t="n">
        <v>1783082</v>
      </c>
      <c r="O84" s="16" t="n">
        <v>908688</v>
      </c>
      <c r="P84" s="16" t="n">
        <v>515087</v>
      </c>
      <c r="Q84" s="16" t="n">
        <v>469780</v>
      </c>
      <c r="R84" s="16" t="n">
        <v>424625</v>
      </c>
      <c r="S84" s="7"/>
      <c r="T84" s="7"/>
      <c r="U84" s="16" t="n">
        <v>13380857</v>
      </c>
      <c r="V84" s="16" t="n">
        <v>7154066</v>
      </c>
      <c r="W84" s="16" t="n">
        <v>3688470</v>
      </c>
      <c r="X84" s="16" t="n">
        <v>2314005</v>
      </c>
      <c r="Y84" s="16" t="n">
        <v>2249090</v>
      </c>
      <c r="Z84" s="16" t="n">
        <v>2121307</v>
      </c>
      <c r="AA84" s="7"/>
      <c r="AB84" s="7"/>
      <c r="AC84" s="16" t="n">
        <v>109613413</v>
      </c>
      <c r="AD84" s="16" t="n">
        <v>55192714</v>
      </c>
      <c r="AE84" s="16" t="n">
        <v>26882214</v>
      </c>
      <c r="AF84" s="16" t="n">
        <v>19305880</v>
      </c>
      <c r="AG84" s="16" t="n">
        <v>17383579</v>
      </c>
      <c r="AH84" s="16" t="n">
        <v>16428842</v>
      </c>
      <c r="AI84" s="8"/>
    </row>
    <row r="85" customFormat="false" ht="16.4" hidden="false" customHeight="false" outlineLevel="0" collapsed="false">
      <c r="B85" s="9"/>
      <c r="C85" s="14"/>
      <c r="D85" s="15" t="s">
        <v>19</v>
      </c>
      <c r="E85" s="16" t="n">
        <v>337789</v>
      </c>
      <c r="F85" s="16" t="n">
        <v>183979</v>
      </c>
      <c r="G85" s="16" t="n">
        <v>118815</v>
      </c>
      <c r="H85" s="16" t="n">
        <v>90270</v>
      </c>
      <c r="I85" s="16" t="n">
        <v>81995</v>
      </c>
      <c r="J85" s="16" t="n">
        <v>77717</v>
      </c>
      <c r="K85" s="7"/>
      <c r="L85" s="7"/>
      <c r="M85" s="16" t="n">
        <v>2950607</v>
      </c>
      <c r="N85" s="16" t="n">
        <v>1936598</v>
      </c>
      <c r="O85" s="16" t="n">
        <v>865188</v>
      </c>
      <c r="P85" s="16" t="n">
        <v>531605</v>
      </c>
      <c r="Q85" s="16" t="n">
        <v>550152</v>
      </c>
      <c r="R85" s="16" t="n">
        <v>441402</v>
      </c>
      <c r="S85" s="7"/>
      <c r="T85" s="7"/>
      <c r="U85" s="16" t="n">
        <v>14355317</v>
      </c>
      <c r="V85" s="16" t="n">
        <v>6713632</v>
      </c>
      <c r="W85" s="16" t="n">
        <v>3620444</v>
      </c>
      <c r="X85" s="16" t="n">
        <v>2810619</v>
      </c>
      <c r="Y85" s="16" t="n">
        <v>2117589</v>
      </c>
      <c r="Z85" s="16" t="n">
        <v>2172355</v>
      </c>
      <c r="AA85" s="7"/>
      <c r="AB85" s="7"/>
      <c r="AC85" s="16" t="n">
        <v>112196638</v>
      </c>
      <c r="AD85" s="16" t="n">
        <v>55662018</v>
      </c>
      <c r="AE85" s="16" t="n">
        <v>27906791</v>
      </c>
      <c r="AF85" s="16" t="n">
        <v>20426697</v>
      </c>
      <c r="AG85" s="16" t="n">
        <v>17380478</v>
      </c>
      <c r="AH85" s="16" t="n">
        <v>16907050</v>
      </c>
      <c r="AI85" s="8"/>
    </row>
    <row r="86" customFormat="false" ht="16.4" hidden="false" customHeight="false" outlineLevel="0" collapsed="false">
      <c r="B86" s="9"/>
      <c r="C86" s="14"/>
      <c r="D86" s="15" t="s">
        <v>20</v>
      </c>
      <c r="E86" s="16" t="n">
        <v>326132</v>
      </c>
      <c r="F86" s="16" t="n">
        <v>210030</v>
      </c>
      <c r="G86" s="16" t="n">
        <v>127308</v>
      </c>
      <c r="H86" s="16" t="n">
        <v>92581</v>
      </c>
      <c r="I86" s="16" t="n">
        <v>75065</v>
      </c>
      <c r="J86" s="16" t="n">
        <v>85852</v>
      </c>
      <c r="K86" s="7"/>
      <c r="L86" s="7"/>
      <c r="M86" s="16" t="n">
        <v>3360379</v>
      </c>
      <c r="N86" s="16" t="n">
        <v>1744310</v>
      </c>
      <c r="O86" s="16" t="n">
        <v>998152</v>
      </c>
      <c r="P86" s="16" t="n">
        <v>505650</v>
      </c>
      <c r="Q86" s="16" t="n">
        <v>462574</v>
      </c>
      <c r="R86" s="16" t="n">
        <v>454679</v>
      </c>
      <c r="S86" s="7"/>
      <c r="T86" s="7"/>
      <c r="U86" s="16" t="n">
        <v>12774895</v>
      </c>
      <c r="V86" s="16" t="n">
        <v>7017218</v>
      </c>
      <c r="W86" s="16" t="n">
        <v>4264147</v>
      </c>
      <c r="X86" s="16" t="n">
        <v>2392270</v>
      </c>
      <c r="Y86" s="16" t="n">
        <v>2094481</v>
      </c>
      <c r="Z86" s="16" t="n">
        <v>1962281</v>
      </c>
      <c r="AA86" s="7"/>
      <c r="AB86" s="7"/>
      <c r="AC86" s="16" t="n">
        <v>119645150</v>
      </c>
      <c r="AD86" s="16" t="n">
        <v>59032750</v>
      </c>
      <c r="AE86" s="16" t="n">
        <v>27233922</v>
      </c>
      <c r="AF86" s="16" t="n">
        <v>19949686</v>
      </c>
      <c r="AG86" s="16" t="n">
        <v>17317610</v>
      </c>
      <c r="AH86" s="16" t="n">
        <v>16481696</v>
      </c>
      <c r="AI86" s="8"/>
    </row>
    <row r="87" customFormat="false" ht="16.4" hidden="false" customHeight="false" outlineLevel="0" collapsed="false">
      <c r="B87" s="9"/>
      <c r="C87" s="14"/>
      <c r="D87" s="15" t="s">
        <v>21</v>
      </c>
      <c r="E87" s="16" t="n">
        <v>353553</v>
      </c>
      <c r="F87" s="16" t="n">
        <v>221505</v>
      </c>
      <c r="G87" s="16" t="n">
        <v>140868</v>
      </c>
      <c r="H87" s="16" t="n">
        <v>89966</v>
      </c>
      <c r="I87" s="16" t="n">
        <v>81712</v>
      </c>
      <c r="J87" s="16" t="n">
        <v>72387</v>
      </c>
      <c r="K87" s="7"/>
      <c r="L87" s="7"/>
      <c r="M87" s="16" t="n">
        <v>3575875</v>
      </c>
      <c r="N87" s="16" t="n">
        <v>1888983</v>
      </c>
      <c r="O87" s="16" t="n">
        <v>814808</v>
      </c>
      <c r="P87" s="16" t="n">
        <v>512068</v>
      </c>
      <c r="Q87" s="16" t="n">
        <v>480562</v>
      </c>
      <c r="R87" s="16" t="n">
        <v>440176</v>
      </c>
      <c r="S87" s="7"/>
      <c r="T87" s="7"/>
      <c r="U87" s="16" t="n">
        <v>14842761</v>
      </c>
      <c r="V87" s="16" t="n">
        <v>7342568</v>
      </c>
      <c r="W87" s="16" t="n">
        <v>3693715</v>
      </c>
      <c r="X87" s="16" t="n">
        <v>2468205</v>
      </c>
      <c r="Y87" s="16" t="n">
        <v>2165049</v>
      </c>
      <c r="Z87" s="16" t="n">
        <v>2065180</v>
      </c>
      <c r="AA87" s="7"/>
      <c r="AB87" s="7"/>
      <c r="AC87" s="16" t="n">
        <v>119107975</v>
      </c>
      <c r="AD87" s="16" t="n">
        <v>57147058</v>
      </c>
      <c r="AE87" s="16" t="n">
        <v>27203067</v>
      </c>
      <c r="AF87" s="16" t="n">
        <v>19554438</v>
      </c>
      <c r="AG87" s="16" t="n">
        <v>17084046</v>
      </c>
      <c r="AH87" s="16" t="n">
        <v>16673312</v>
      </c>
      <c r="AI87" s="8"/>
    </row>
    <row r="88" customFormat="false" ht="16.4" hidden="false" customHeight="false" outlineLevel="0" collapsed="false">
      <c r="B88" s="9"/>
      <c r="C88" s="14"/>
      <c r="D88" s="15" t="s">
        <v>22</v>
      </c>
      <c r="E88" s="16" t="n">
        <v>336173</v>
      </c>
      <c r="F88" s="16" t="n">
        <v>193795</v>
      </c>
      <c r="G88" s="16" t="n">
        <v>117147</v>
      </c>
      <c r="H88" s="16" t="n">
        <v>87248</v>
      </c>
      <c r="I88" s="16" t="n">
        <v>82085</v>
      </c>
      <c r="J88" s="16" t="n">
        <v>80838</v>
      </c>
      <c r="K88" s="7"/>
      <c r="L88" s="7"/>
      <c r="M88" s="16" t="n">
        <v>4148733</v>
      </c>
      <c r="N88" s="16" t="n">
        <v>1673069</v>
      </c>
      <c r="O88" s="16" t="n">
        <v>1250978</v>
      </c>
      <c r="P88" s="16" t="n">
        <v>510235</v>
      </c>
      <c r="Q88" s="16" t="n">
        <v>475206</v>
      </c>
      <c r="R88" s="16" t="n">
        <v>449908</v>
      </c>
      <c r="S88" s="7"/>
      <c r="T88" s="7"/>
      <c r="U88" s="16" t="n">
        <v>15510492</v>
      </c>
      <c r="V88" s="16" t="n">
        <v>7421054</v>
      </c>
      <c r="W88" s="16" t="n">
        <v>3232685</v>
      </c>
      <c r="X88" s="16" t="n">
        <v>2201618</v>
      </c>
      <c r="Y88" s="16" t="n">
        <v>2259661</v>
      </c>
      <c r="Z88" s="16" t="n">
        <v>2126035</v>
      </c>
      <c r="AA88" s="7"/>
      <c r="AB88" s="7"/>
      <c r="AC88" s="16" t="n">
        <v>119352156</v>
      </c>
      <c r="AD88" s="16" t="n">
        <v>58001717</v>
      </c>
      <c r="AE88" s="16" t="n">
        <v>26920726</v>
      </c>
      <c r="AF88" s="16" t="n">
        <v>18076894</v>
      </c>
      <c r="AG88" s="16" t="n">
        <v>17023337</v>
      </c>
      <c r="AH88" s="16" t="n">
        <v>17155072</v>
      </c>
      <c r="AI88" s="8"/>
    </row>
    <row r="89" customFormat="false" ht="16.4" hidden="false" customHeight="false" outlineLevel="0" collapsed="false">
      <c r="B89" s="9"/>
      <c r="C89" s="14"/>
      <c r="D89" s="15" t="s">
        <v>23</v>
      </c>
      <c r="E89" s="16" t="n">
        <v>327993</v>
      </c>
      <c r="F89" s="16" t="n">
        <v>200957</v>
      </c>
      <c r="G89" s="16" t="n">
        <v>123994</v>
      </c>
      <c r="H89" s="16" t="n">
        <v>92652</v>
      </c>
      <c r="I89" s="16" t="n">
        <v>91106</v>
      </c>
      <c r="J89" s="16" t="n">
        <v>83208</v>
      </c>
      <c r="K89" s="7"/>
      <c r="L89" s="7"/>
      <c r="M89" s="16" t="n">
        <v>3362798</v>
      </c>
      <c r="N89" s="16" t="n">
        <v>1712310</v>
      </c>
      <c r="O89" s="16" t="n">
        <v>977217</v>
      </c>
      <c r="P89" s="16" t="n">
        <v>502471</v>
      </c>
      <c r="Q89" s="16" t="n">
        <v>486701</v>
      </c>
      <c r="R89" s="16" t="n">
        <v>448993</v>
      </c>
      <c r="S89" s="7"/>
      <c r="T89" s="7"/>
      <c r="U89" s="16" t="n">
        <v>17538686</v>
      </c>
      <c r="V89" s="16" t="n">
        <v>7722918</v>
      </c>
      <c r="W89" s="16" t="n">
        <v>3423593</v>
      </c>
      <c r="X89" s="16" t="n">
        <v>2351949</v>
      </c>
      <c r="Y89" s="16" t="n">
        <v>2217037</v>
      </c>
      <c r="Z89" s="16" t="n">
        <v>2186515</v>
      </c>
      <c r="AA89" s="7"/>
      <c r="AB89" s="7"/>
      <c r="AC89" s="16" t="n">
        <v>113423998</v>
      </c>
      <c r="AD89" s="16" t="n">
        <v>55655844</v>
      </c>
      <c r="AE89" s="16" t="n">
        <v>29746958</v>
      </c>
      <c r="AF89" s="16" t="n">
        <v>19766964</v>
      </c>
      <c r="AG89" s="16" t="n">
        <v>17382155</v>
      </c>
      <c r="AH89" s="16" t="n">
        <v>16899165</v>
      </c>
      <c r="AI89" s="8"/>
    </row>
    <row r="90" customFormat="false" ht="16.4" hidden="false" customHeight="false" outlineLevel="0" collapsed="false">
      <c r="B90" s="9"/>
      <c r="C90" s="14"/>
      <c r="D90" s="15" t="s">
        <v>24</v>
      </c>
      <c r="E90" s="16" t="n">
        <v>344573</v>
      </c>
      <c r="F90" s="16" t="n">
        <v>221616</v>
      </c>
      <c r="G90" s="16" t="n">
        <v>133319</v>
      </c>
      <c r="H90" s="16" t="n">
        <v>84166</v>
      </c>
      <c r="I90" s="16" t="n">
        <v>80026</v>
      </c>
      <c r="J90" s="16" t="n">
        <v>80525</v>
      </c>
      <c r="K90" s="7"/>
      <c r="L90" s="7"/>
      <c r="M90" s="16" t="n">
        <v>3530611</v>
      </c>
      <c r="N90" s="16" t="n">
        <v>1731018</v>
      </c>
      <c r="O90" s="16" t="n">
        <v>907648</v>
      </c>
      <c r="P90" s="16" t="n">
        <v>516520</v>
      </c>
      <c r="Q90" s="16" t="n">
        <v>513397</v>
      </c>
      <c r="R90" s="16" t="n">
        <v>450624</v>
      </c>
      <c r="S90" s="7"/>
      <c r="T90" s="7"/>
      <c r="U90" s="16" t="n">
        <v>16319931</v>
      </c>
      <c r="V90" s="16" t="n">
        <v>7723458</v>
      </c>
      <c r="W90" s="16" t="n">
        <v>3708043</v>
      </c>
      <c r="X90" s="16" t="n">
        <v>2580156</v>
      </c>
      <c r="Y90" s="16" t="n">
        <v>2158403</v>
      </c>
      <c r="Z90" s="16" t="n">
        <v>2097091</v>
      </c>
      <c r="AA90" s="7"/>
      <c r="AB90" s="7"/>
      <c r="AC90" s="16" t="n">
        <v>111488412</v>
      </c>
      <c r="AD90" s="16" t="n">
        <v>57090106</v>
      </c>
      <c r="AE90" s="16" t="n">
        <v>29000035</v>
      </c>
      <c r="AF90" s="16" t="n">
        <v>19591653</v>
      </c>
      <c r="AG90" s="16" t="n">
        <v>17657653</v>
      </c>
      <c r="AH90" s="16" t="n">
        <v>16935579</v>
      </c>
      <c r="AI90" s="8"/>
    </row>
    <row r="91" customFormat="false" ht="16.4" hidden="false" customHeight="false" outlineLevel="0" collapsed="false">
      <c r="B91" s="9"/>
      <c r="C91" s="14"/>
      <c r="D91" s="15" t="s">
        <v>25</v>
      </c>
      <c r="E91" s="16" t="n">
        <v>379204</v>
      </c>
      <c r="F91" s="16" t="n">
        <v>194539</v>
      </c>
      <c r="G91" s="16" t="n">
        <v>121690</v>
      </c>
      <c r="H91" s="16" t="n">
        <v>93085</v>
      </c>
      <c r="I91" s="16" t="n">
        <v>88373</v>
      </c>
      <c r="J91" s="16" t="n">
        <v>68719</v>
      </c>
      <c r="K91" s="7"/>
      <c r="L91" s="7"/>
      <c r="M91" s="16" t="n">
        <v>3801537</v>
      </c>
      <c r="N91" s="16" t="n">
        <v>1774241</v>
      </c>
      <c r="O91" s="16" t="n">
        <v>838851</v>
      </c>
      <c r="P91" s="16" t="n">
        <v>549524</v>
      </c>
      <c r="Q91" s="16" t="n">
        <v>489611</v>
      </c>
      <c r="R91" s="16" t="n">
        <v>470046</v>
      </c>
      <c r="S91" s="7"/>
      <c r="T91" s="7"/>
      <c r="U91" s="16" t="n">
        <v>13843714</v>
      </c>
      <c r="V91" s="16" t="n">
        <v>7162218</v>
      </c>
      <c r="W91" s="16" t="n">
        <v>3434521</v>
      </c>
      <c r="X91" s="16" t="n">
        <v>2234741</v>
      </c>
      <c r="Y91" s="16" t="n">
        <v>2101092</v>
      </c>
      <c r="Z91" s="16" t="n">
        <v>1964286</v>
      </c>
      <c r="AA91" s="7"/>
      <c r="AB91" s="7"/>
      <c r="AC91" s="16" t="n">
        <v>111097893</v>
      </c>
      <c r="AD91" s="16" t="n">
        <v>56285319</v>
      </c>
      <c r="AE91" s="16" t="n">
        <v>28055475</v>
      </c>
      <c r="AF91" s="16" t="n">
        <v>18654171</v>
      </c>
      <c r="AG91" s="16" t="n">
        <v>17482294</v>
      </c>
      <c r="AH91" s="16" t="n">
        <v>16934778</v>
      </c>
      <c r="AI91" s="8"/>
    </row>
    <row r="92" customFormat="false" ht="16.4" hidden="false" customHeight="false" outlineLevel="0" collapsed="false">
      <c r="B92" s="9"/>
      <c r="C92" s="14"/>
      <c r="D92" s="15" t="s">
        <v>26</v>
      </c>
      <c r="E92" s="16" t="n">
        <v>335725</v>
      </c>
      <c r="F92" s="16" t="n">
        <v>192531</v>
      </c>
      <c r="G92" s="16" t="n">
        <v>125607</v>
      </c>
      <c r="H92" s="16" t="n">
        <v>81233</v>
      </c>
      <c r="I92" s="16" t="n">
        <v>86208</v>
      </c>
      <c r="J92" s="16" t="n">
        <v>76101</v>
      </c>
      <c r="K92" s="7"/>
      <c r="L92" s="7"/>
      <c r="M92" s="16" t="n">
        <v>3760364</v>
      </c>
      <c r="N92" s="16" t="n">
        <v>1658694</v>
      </c>
      <c r="O92" s="16" t="n">
        <v>884225</v>
      </c>
      <c r="P92" s="16" t="n">
        <v>491730</v>
      </c>
      <c r="Q92" s="16" t="n">
        <v>498755</v>
      </c>
      <c r="R92" s="16" t="n">
        <v>539871</v>
      </c>
      <c r="S92" s="7"/>
      <c r="T92" s="7"/>
      <c r="U92" s="16" t="n">
        <v>15763770</v>
      </c>
      <c r="V92" s="16" t="n">
        <v>6337758</v>
      </c>
      <c r="W92" s="16" t="n">
        <v>3528931</v>
      </c>
      <c r="X92" s="16" t="n">
        <v>2418463</v>
      </c>
      <c r="Y92" s="16" t="n">
        <v>2096384</v>
      </c>
      <c r="Z92" s="16" t="n">
        <v>2143915</v>
      </c>
      <c r="AA92" s="7"/>
      <c r="AB92" s="7"/>
      <c r="AC92" s="16" t="n">
        <v>114825391</v>
      </c>
      <c r="AD92" s="16" t="n">
        <v>55718861</v>
      </c>
      <c r="AE92" s="16" t="n">
        <v>27172513</v>
      </c>
      <c r="AF92" s="16" t="n">
        <v>18108207</v>
      </c>
      <c r="AG92" s="16" t="n">
        <v>17673620</v>
      </c>
      <c r="AH92" s="16" t="n">
        <v>16909926</v>
      </c>
      <c r="AI92" s="8"/>
    </row>
    <row r="93" customFormat="false" ht="16.4" hidden="false" customHeight="false" outlineLevel="0" collapsed="false">
      <c r="B93" s="9"/>
      <c r="C93" s="14"/>
      <c r="D93" s="15" t="s">
        <v>27</v>
      </c>
      <c r="E93" s="16" t="n">
        <v>337062</v>
      </c>
      <c r="F93" s="16" t="n">
        <v>194396</v>
      </c>
      <c r="G93" s="16" t="n">
        <v>115124</v>
      </c>
      <c r="H93" s="16" t="n">
        <v>102666</v>
      </c>
      <c r="I93" s="16" t="n">
        <v>80177</v>
      </c>
      <c r="J93" s="16" t="n">
        <v>76755</v>
      </c>
      <c r="K93" s="7"/>
      <c r="L93" s="7"/>
      <c r="M93" s="16" t="n">
        <v>3579534</v>
      </c>
      <c r="N93" s="16" t="n">
        <v>1874721</v>
      </c>
      <c r="O93" s="16" t="n">
        <v>872809</v>
      </c>
      <c r="P93" s="16" t="n">
        <v>513439</v>
      </c>
      <c r="Q93" s="16" t="n">
        <v>509212</v>
      </c>
      <c r="R93" s="16" t="n">
        <v>492373</v>
      </c>
      <c r="S93" s="7"/>
      <c r="T93" s="7"/>
      <c r="U93" s="16" t="n">
        <v>13053290</v>
      </c>
      <c r="V93" s="16" t="n">
        <v>6480663</v>
      </c>
      <c r="W93" s="16" t="n">
        <v>4115695</v>
      </c>
      <c r="X93" s="16" t="n">
        <v>2421497</v>
      </c>
      <c r="Y93" s="16" t="n">
        <v>2247580</v>
      </c>
      <c r="Z93" s="16" t="n">
        <v>2126026</v>
      </c>
      <c r="AA93" s="7"/>
      <c r="AB93" s="7"/>
      <c r="AC93" s="16" t="n">
        <v>111904001</v>
      </c>
      <c r="AD93" s="16" t="n">
        <v>56341092</v>
      </c>
      <c r="AE93" s="16" t="n">
        <v>27721407</v>
      </c>
      <c r="AF93" s="16" t="n">
        <v>19096671</v>
      </c>
      <c r="AG93" s="16" t="n">
        <v>17084219</v>
      </c>
      <c r="AH93" s="16" t="n">
        <v>16960907</v>
      </c>
      <c r="AI93" s="8"/>
    </row>
    <row r="94" customFormat="false" ht="16.4" hidden="false" customHeight="false" outlineLevel="0" collapsed="false">
      <c r="B94" s="9"/>
      <c r="C94" s="14"/>
      <c r="D94" s="15" t="s">
        <v>28</v>
      </c>
      <c r="E94" s="16" t="n">
        <v>335902</v>
      </c>
      <c r="F94" s="16" t="n">
        <v>203377</v>
      </c>
      <c r="G94" s="16" t="n">
        <v>122607</v>
      </c>
      <c r="H94" s="16" t="n">
        <v>87137</v>
      </c>
      <c r="I94" s="16" t="n">
        <v>77603</v>
      </c>
      <c r="J94" s="16" t="n">
        <v>78155</v>
      </c>
      <c r="K94" s="7"/>
      <c r="L94" s="7"/>
      <c r="M94" s="16" t="n">
        <v>3461459</v>
      </c>
      <c r="N94" s="16" t="n">
        <v>1786276</v>
      </c>
      <c r="O94" s="16" t="n">
        <v>915221</v>
      </c>
      <c r="P94" s="16" t="n">
        <v>544854</v>
      </c>
      <c r="Q94" s="16" t="n">
        <v>524629</v>
      </c>
      <c r="R94" s="16" t="n">
        <v>475784</v>
      </c>
      <c r="S94" s="7"/>
      <c r="T94" s="7"/>
      <c r="U94" s="16" t="n">
        <v>13460150</v>
      </c>
      <c r="V94" s="16" t="n">
        <v>7631815</v>
      </c>
      <c r="W94" s="16" t="n">
        <v>3295889</v>
      </c>
      <c r="X94" s="16" t="n">
        <v>2606949</v>
      </c>
      <c r="Y94" s="16" t="n">
        <v>2114945</v>
      </c>
      <c r="Z94" s="16" t="n">
        <v>2142539</v>
      </c>
      <c r="AA94" s="7"/>
      <c r="AB94" s="7"/>
      <c r="AC94" s="16" t="n">
        <v>107397632</v>
      </c>
      <c r="AD94" s="16" t="n">
        <v>56943201</v>
      </c>
      <c r="AE94" s="16" t="n">
        <v>27476727</v>
      </c>
      <c r="AF94" s="16" t="n">
        <v>17881690</v>
      </c>
      <c r="AG94" s="16" t="n">
        <v>16272488</v>
      </c>
      <c r="AH94" s="16" t="n">
        <v>16577543</v>
      </c>
      <c r="AI94" s="8"/>
    </row>
    <row r="95" customFormat="false" ht="16.4" hidden="false" customHeight="false" outlineLevel="0" collapsed="false">
      <c r="B95" s="9"/>
      <c r="C95" s="14"/>
      <c r="D95" s="15" t="s">
        <v>29</v>
      </c>
      <c r="E95" s="16" t="n">
        <v>343786</v>
      </c>
      <c r="F95" s="16" t="n">
        <v>197948</v>
      </c>
      <c r="G95" s="16" t="n">
        <v>142394</v>
      </c>
      <c r="H95" s="16" t="n">
        <v>84215</v>
      </c>
      <c r="I95" s="16" t="n">
        <v>83897</v>
      </c>
      <c r="J95" s="16" t="n">
        <v>82965</v>
      </c>
      <c r="K95" s="7"/>
      <c r="L95" s="7"/>
      <c r="M95" s="16" t="n">
        <v>3956172</v>
      </c>
      <c r="N95" s="16" t="n">
        <v>1608012</v>
      </c>
      <c r="O95" s="16" t="n">
        <v>915119</v>
      </c>
      <c r="P95" s="16" t="n">
        <v>569684</v>
      </c>
      <c r="Q95" s="16" t="n">
        <v>504814</v>
      </c>
      <c r="R95" s="16" t="n">
        <v>462582</v>
      </c>
      <c r="S95" s="7"/>
      <c r="T95" s="7"/>
      <c r="U95" s="16" t="n">
        <v>13906457</v>
      </c>
      <c r="V95" s="16" t="n">
        <v>7228514</v>
      </c>
      <c r="W95" s="16" t="n">
        <v>3295661</v>
      </c>
      <c r="X95" s="16" t="n">
        <v>2261460</v>
      </c>
      <c r="Y95" s="16" t="n">
        <v>2062684</v>
      </c>
      <c r="Z95" s="16" t="n">
        <v>2150143</v>
      </c>
      <c r="AA95" s="7"/>
      <c r="AB95" s="7"/>
      <c r="AC95" s="16" t="n">
        <v>111401132</v>
      </c>
      <c r="AD95" s="16" t="n">
        <v>59835042</v>
      </c>
      <c r="AE95" s="16" t="n">
        <v>26777183</v>
      </c>
      <c r="AF95" s="16" t="n">
        <v>19485328</v>
      </c>
      <c r="AG95" s="16" t="n">
        <v>17320370</v>
      </c>
      <c r="AH95" s="16" t="n">
        <v>16994668</v>
      </c>
      <c r="AI95" s="8"/>
    </row>
    <row r="96" customFormat="false" ht="16.4" hidden="false" customHeight="false" outlineLevel="0" collapsed="false">
      <c r="B96" s="9"/>
      <c r="C96" s="14"/>
      <c r="D96" s="15" t="s">
        <v>30</v>
      </c>
      <c r="E96" s="16" t="n">
        <v>317696</v>
      </c>
      <c r="F96" s="16" t="n">
        <v>179610</v>
      </c>
      <c r="G96" s="16" t="n">
        <v>115089</v>
      </c>
      <c r="H96" s="16" t="n">
        <v>88426</v>
      </c>
      <c r="I96" s="16" t="n">
        <v>84733</v>
      </c>
      <c r="J96" s="16" t="n">
        <v>76111</v>
      </c>
      <c r="K96" s="7"/>
      <c r="L96" s="7"/>
      <c r="M96" s="16" t="n">
        <v>3508825</v>
      </c>
      <c r="N96" s="16" t="n">
        <v>1862465</v>
      </c>
      <c r="O96" s="16" t="n">
        <v>934562</v>
      </c>
      <c r="P96" s="16" t="n">
        <v>516359</v>
      </c>
      <c r="Q96" s="16" t="n">
        <v>464673</v>
      </c>
      <c r="R96" s="16" t="n">
        <v>476675</v>
      </c>
      <c r="S96" s="7"/>
      <c r="T96" s="7"/>
      <c r="U96" s="16" t="n">
        <v>14143511</v>
      </c>
      <c r="V96" s="16" t="n">
        <v>6771126</v>
      </c>
      <c r="W96" s="16" t="n">
        <v>3470455</v>
      </c>
      <c r="X96" s="16" t="n">
        <v>2477750</v>
      </c>
      <c r="Y96" s="16" t="n">
        <v>2143014</v>
      </c>
      <c r="Z96" s="16" t="n">
        <v>2112952</v>
      </c>
      <c r="AA96" s="7"/>
      <c r="AB96" s="7"/>
      <c r="AC96" s="16" t="n">
        <v>115290096</v>
      </c>
      <c r="AD96" s="16" t="n">
        <v>56249465</v>
      </c>
      <c r="AE96" s="16" t="n">
        <v>28248842</v>
      </c>
      <c r="AF96" s="16" t="n">
        <v>18320785</v>
      </c>
      <c r="AG96" s="16" t="n">
        <v>17373774</v>
      </c>
      <c r="AH96" s="16" t="n">
        <v>17527799</v>
      </c>
      <c r="AI96" s="8"/>
    </row>
    <row r="97" customFormat="false" ht="16.4" hidden="false" customHeight="false" outlineLevel="0" collapsed="false">
      <c r="B97" s="9"/>
      <c r="C97" s="14"/>
      <c r="D97" s="15" t="s">
        <v>31</v>
      </c>
      <c r="E97" s="16" t="n">
        <v>363682</v>
      </c>
      <c r="F97" s="16" t="n">
        <v>216462</v>
      </c>
      <c r="G97" s="16" t="n">
        <v>119962</v>
      </c>
      <c r="H97" s="16" t="n">
        <v>91703</v>
      </c>
      <c r="I97" s="16" t="n">
        <v>86000</v>
      </c>
      <c r="J97" s="16" t="n">
        <v>81870</v>
      </c>
      <c r="K97" s="7"/>
      <c r="L97" s="7"/>
      <c r="M97" s="16" t="n">
        <v>3336779</v>
      </c>
      <c r="N97" s="16" t="n">
        <v>1690628</v>
      </c>
      <c r="O97" s="16" t="n">
        <v>867888</v>
      </c>
      <c r="P97" s="16" t="n">
        <v>521006</v>
      </c>
      <c r="Q97" s="16" t="n">
        <v>469603</v>
      </c>
      <c r="R97" s="16" t="n">
        <v>490001</v>
      </c>
      <c r="S97" s="7"/>
      <c r="T97" s="7"/>
      <c r="U97" s="16" t="n">
        <v>14684476</v>
      </c>
      <c r="V97" s="16" t="n">
        <v>7080147</v>
      </c>
      <c r="W97" s="16" t="n">
        <v>4189972</v>
      </c>
      <c r="X97" s="16" t="n">
        <v>2307305</v>
      </c>
      <c r="Y97" s="16" t="n">
        <v>2228713</v>
      </c>
      <c r="Z97" s="16" t="n">
        <v>2057165</v>
      </c>
      <c r="AA97" s="7"/>
      <c r="AB97" s="7"/>
      <c r="AC97" s="16" t="n">
        <v>112882486</v>
      </c>
      <c r="AD97" s="16" t="n">
        <v>57897277</v>
      </c>
      <c r="AE97" s="16" t="n">
        <v>29503196</v>
      </c>
      <c r="AF97" s="16" t="n">
        <v>18551951</v>
      </c>
      <c r="AG97" s="16" t="n">
        <v>16681388</v>
      </c>
      <c r="AH97" s="16" t="n">
        <v>15993724</v>
      </c>
      <c r="AI97" s="8"/>
    </row>
    <row r="98" customFormat="false" ht="16.4" hidden="false" customHeight="false" outlineLevel="0" collapsed="false">
      <c r="B98" s="9"/>
      <c r="C98" s="14"/>
      <c r="D98" s="15" t="s">
        <v>32</v>
      </c>
      <c r="E98" s="16" t="n">
        <v>429865</v>
      </c>
      <c r="F98" s="16" t="n">
        <v>224319</v>
      </c>
      <c r="G98" s="16" t="n">
        <v>126282</v>
      </c>
      <c r="H98" s="16" t="n">
        <v>82091</v>
      </c>
      <c r="I98" s="16" t="n">
        <v>81128</v>
      </c>
      <c r="J98" s="16" t="n">
        <v>77847</v>
      </c>
      <c r="K98" s="7"/>
      <c r="L98" s="7"/>
      <c r="M98" s="16" t="n">
        <v>3429925</v>
      </c>
      <c r="N98" s="16" t="n">
        <v>1930361</v>
      </c>
      <c r="O98" s="16" t="n">
        <v>866622</v>
      </c>
      <c r="P98" s="16" t="n">
        <v>558069</v>
      </c>
      <c r="Q98" s="16" t="n">
        <v>495912</v>
      </c>
      <c r="R98" s="16" t="n">
        <v>456958</v>
      </c>
      <c r="S98" s="7"/>
      <c r="T98" s="7"/>
      <c r="U98" s="16" t="n">
        <v>14632969</v>
      </c>
      <c r="V98" s="16" t="n">
        <v>7634280</v>
      </c>
      <c r="W98" s="16" t="n">
        <v>3449212</v>
      </c>
      <c r="X98" s="16" t="n">
        <v>2592873</v>
      </c>
      <c r="Y98" s="16" t="n">
        <v>2050255</v>
      </c>
      <c r="Z98" s="16" t="n">
        <v>2078250</v>
      </c>
      <c r="AA98" s="7"/>
      <c r="AB98" s="7"/>
      <c r="AC98" s="16" t="n">
        <v>107857935</v>
      </c>
      <c r="AD98" s="16" t="n">
        <v>55627761</v>
      </c>
      <c r="AE98" s="16" t="n">
        <v>28610846</v>
      </c>
      <c r="AF98" s="16" t="n">
        <v>19987286</v>
      </c>
      <c r="AG98" s="16" t="n">
        <v>16923000</v>
      </c>
      <c r="AH98" s="16" t="n">
        <v>16266617</v>
      </c>
      <c r="AI98" s="8"/>
    </row>
    <row r="99" customFormat="false" ht="16.4" hidden="false" customHeight="false" outlineLevel="0" collapsed="false">
      <c r="B99" s="9"/>
      <c r="C99" s="14"/>
      <c r="D99" s="15" t="s">
        <v>33</v>
      </c>
      <c r="E99" s="16" t="n">
        <v>336300</v>
      </c>
      <c r="F99" s="16" t="n">
        <v>189397</v>
      </c>
      <c r="G99" s="16" t="n">
        <v>115737</v>
      </c>
      <c r="H99" s="16" t="n">
        <v>91385</v>
      </c>
      <c r="I99" s="16" t="n">
        <v>79376</v>
      </c>
      <c r="J99" s="16" t="n">
        <v>77796</v>
      </c>
      <c r="K99" s="7"/>
      <c r="L99" s="7"/>
      <c r="M99" s="16" t="n">
        <v>3929112</v>
      </c>
      <c r="N99" s="16" t="n">
        <v>1679630</v>
      </c>
      <c r="O99" s="16" t="n">
        <v>837113</v>
      </c>
      <c r="P99" s="16" t="n">
        <v>533093</v>
      </c>
      <c r="Q99" s="16" t="n">
        <v>529289</v>
      </c>
      <c r="R99" s="16" t="n">
        <v>485731</v>
      </c>
      <c r="S99" s="7"/>
      <c r="T99" s="7"/>
      <c r="U99" s="16" t="n">
        <v>13416952</v>
      </c>
      <c r="V99" s="16" t="n">
        <v>7407577</v>
      </c>
      <c r="W99" s="16" t="n">
        <v>3496395</v>
      </c>
      <c r="X99" s="16" t="n">
        <v>2579187</v>
      </c>
      <c r="Y99" s="16" t="n">
        <v>2168683</v>
      </c>
      <c r="Z99" s="16" t="n">
        <v>2064045</v>
      </c>
      <c r="AA99" s="7"/>
      <c r="AB99" s="7"/>
      <c r="AC99" s="16" t="n">
        <v>124761293</v>
      </c>
      <c r="AD99" s="16" t="n">
        <v>58843392</v>
      </c>
      <c r="AE99" s="16" t="n">
        <v>26970520</v>
      </c>
      <c r="AF99" s="16" t="n">
        <v>19672453</v>
      </c>
      <c r="AG99" s="16" t="n">
        <v>17543845</v>
      </c>
      <c r="AH99" s="16" t="n">
        <v>16779890</v>
      </c>
      <c r="AI99" s="8"/>
    </row>
    <row r="100" customFormat="false" ht="16.4" hidden="false" customHeight="false" outlineLevel="0" collapsed="false">
      <c r="B100" s="9"/>
      <c r="C100" s="14"/>
      <c r="D100" s="15" t="s">
        <v>34</v>
      </c>
      <c r="E100" s="16" t="n">
        <v>435030</v>
      </c>
      <c r="F100" s="16" t="n">
        <v>199153</v>
      </c>
      <c r="G100" s="16" t="n">
        <v>161394</v>
      </c>
      <c r="H100" s="16" t="n">
        <v>91376</v>
      </c>
      <c r="I100" s="16" t="n">
        <v>84189</v>
      </c>
      <c r="J100" s="16" t="n">
        <v>82474</v>
      </c>
      <c r="K100" s="7"/>
      <c r="L100" s="7"/>
      <c r="M100" s="16" t="n">
        <v>3431410</v>
      </c>
      <c r="N100" s="16" t="n">
        <v>1561795</v>
      </c>
      <c r="O100" s="16" t="n">
        <v>770082</v>
      </c>
      <c r="P100" s="16" t="n">
        <v>533834</v>
      </c>
      <c r="Q100" s="16" t="n">
        <v>491352</v>
      </c>
      <c r="R100" s="16" t="n">
        <v>440771</v>
      </c>
      <c r="S100" s="7"/>
      <c r="T100" s="7"/>
      <c r="U100" s="16" t="n">
        <v>14061085</v>
      </c>
      <c r="V100" s="16" t="n">
        <v>7190832</v>
      </c>
      <c r="W100" s="16" t="n">
        <v>3533338</v>
      </c>
      <c r="X100" s="16" t="n">
        <v>3010331</v>
      </c>
      <c r="Y100" s="16" t="n">
        <v>2240601</v>
      </c>
      <c r="Z100" s="16" t="n">
        <v>2086983</v>
      </c>
      <c r="AA100" s="7"/>
      <c r="AB100" s="7"/>
      <c r="AC100" s="16" t="n">
        <v>112143350</v>
      </c>
      <c r="AD100" s="16" t="n">
        <v>54622099</v>
      </c>
      <c r="AE100" s="16" t="n">
        <v>26811701</v>
      </c>
      <c r="AF100" s="16" t="n">
        <v>19039592</v>
      </c>
      <c r="AG100" s="16" t="n">
        <v>17153760</v>
      </c>
      <c r="AH100" s="16" t="n">
        <v>16989629</v>
      </c>
      <c r="AI100" s="8"/>
    </row>
    <row r="101" customFormat="false" ht="16.4" hidden="false" customHeight="false" outlineLevel="0" collapsed="false">
      <c r="B101" s="9"/>
      <c r="C101" s="14"/>
      <c r="D101" s="15" t="s">
        <v>35</v>
      </c>
      <c r="E101" s="16" t="n">
        <v>327186</v>
      </c>
      <c r="F101" s="16" t="n">
        <v>182474</v>
      </c>
      <c r="G101" s="16" t="n">
        <v>132221</v>
      </c>
      <c r="H101" s="16" t="n">
        <v>93216</v>
      </c>
      <c r="I101" s="16" t="n">
        <v>83013</v>
      </c>
      <c r="J101" s="16" t="n">
        <v>81120</v>
      </c>
      <c r="K101" s="7"/>
      <c r="L101" s="7"/>
      <c r="M101" s="16" t="n">
        <v>3554448</v>
      </c>
      <c r="N101" s="16" t="n">
        <v>1628869</v>
      </c>
      <c r="O101" s="16" t="n">
        <v>887761</v>
      </c>
      <c r="P101" s="16" t="n">
        <v>552752</v>
      </c>
      <c r="Q101" s="16" t="n">
        <v>493669</v>
      </c>
      <c r="R101" s="16" t="n">
        <v>436268</v>
      </c>
      <c r="S101" s="7"/>
      <c r="T101" s="7"/>
      <c r="U101" s="16" t="n">
        <v>13175552</v>
      </c>
      <c r="V101" s="16" t="n">
        <v>6964757</v>
      </c>
      <c r="W101" s="16" t="n">
        <v>3962229</v>
      </c>
      <c r="X101" s="16" t="n">
        <v>2942923</v>
      </c>
      <c r="Y101" s="16" t="n">
        <v>2090441</v>
      </c>
      <c r="Z101" s="16" t="n">
        <v>2102438</v>
      </c>
      <c r="AA101" s="7"/>
      <c r="AB101" s="7"/>
      <c r="AC101" s="16" t="n">
        <v>116062267</v>
      </c>
      <c r="AD101" s="16" t="n">
        <v>54544120</v>
      </c>
      <c r="AE101" s="16" t="n">
        <v>26824472</v>
      </c>
      <c r="AF101" s="16" t="n">
        <v>20217438</v>
      </c>
      <c r="AG101" s="16" t="n">
        <v>17105188</v>
      </c>
      <c r="AH101" s="16" t="n">
        <v>17260426</v>
      </c>
      <c r="AI101" s="8"/>
    </row>
    <row r="102" customFormat="false" ht="16.4" hidden="false" customHeight="false" outlineLevel="0" collapsed="false">
      <c r="B102" s="9"/>
      <c r="C102" s="14"/>
      <c r="D102" s="15" t="s">
        <v>36</v>
      </c>
      <c r="E102" s="16" t="n">
        <v>327556</v>
      </c>
      <c r="F102" s="16" t="n">
        <v>189670</v>
      </c>
      <c r="G102" s="16" t="n">
        <v>132044</v>
      </c>
      <c r="H102" s="16" t="n">
        <v>93164</v>
      </c>
      <c r="I102" s="16" t="n">
        <v>90913</v>
      </c>
      <c r="J102" s="16" t="n">
        <v>78487</v>
      </c>
      <c r="K102" s="7"/>
      <c r="L102" s="7"/>
      <c r="M102" s="16" t="n">
        <v>3714342</v>
      </c>
      <c r="N102" s="16" t="n">
        <v>1712376</v>
      </c>
      <c r="O102" s="16" t="n">
        <v>927304</v>
      </c>
      <c r="P102" s="16" t="n">
        <v>496260</v>
      </c>
      <c r="Q102" s="16" t="n">
        <v>493411</v>
      </c>
      <c r="R102" s="16" t="n">
        <v>464581</v>
      </c>
      <c r="S102" s="7"/>
      <c r="T102" s="7"/>
      <c r="U102" s="16" t="n">
        <v>13151597</v>
      </c>
      <c r="V102" s="16" t="n">
        <v>6864961</v>
      </c>
      <c r="W102" s="16" t="n">
        <v>3691431</v>
      </c>
      <c r="X102" s="16" t="n">
        <v>2223889</v>
      </c>
      <c r="Y102" s="16" t="n">
        <v>2266638</v>
      </c>
      <c r="Z102" s="16" t="n">
        <v>1938172</v>
      </c>
      <c r="AA102" s="7"/>
      <c r="AB102" s="7"/>
      <c r="AC102" s="16" t="n">
        <v>115725794</v>
      </c>
      <c r="AD102" s="16" t="n">
        <v>55963438</v>
      </c>
      <c r="AE102" s="16" t="n">
        <v>27011801</v>
      </c>
      <c r="AF102" s="16" t="n">
        <v>18484460</v>
      </c>
      <c r="AG102" s="16" t="n">
        <v>17764005</v>
      </c>
      <c r="AH102" s="16" t="n">
        <v>16647329</v>
      </c>
      <c r="AI102" s="8"/>
    </row>
    <row r="103" customFormat="false" ht="16.4" hidden="false" customHeight="false" outlineLevel="0" collapsed="false">
      <c r="B103" s="9"/>
      <c r="C103" s="14"/>
      <c r="D103" s="15" t="s">
        <v>37</v>
      </c>
      <c r="E103" s="16" t="n">
        <v>337828</v>
      </c>
      <c r="F103" s="16" t="n">
        <v>240368</v>
      </c>
      <c r="G103" s="16" t="n">
        <v>114894</v>
      </c>
      <c r="H103" s="16" t="n">
        <v>90484</v>
      </c>
      <c r="I103" s="16" t="n">
        <v>81503</v>
      </c>
      <c r="J103" s="16" t="n">
        <v>77164</v>
      </c>
      <c r="K103" s="7"/>
      <c r="L103" s="7"/>
      <c r="M103" s="16" t="n">
        <v>3519869</v>
      </c>
      <c r="N103" s="16" t="n">
        <v>2035276</v>
      </c>
      <c r="O103" s="16" t="n">
        <v>1404233</v>
      </c>
      <c r="P103" s="16" t="n">
        <v>486511</v>
      </c>
      <c r="Q103" s="16" t="n">
        <v>541587</v>
      </c>
      <c r="R103" s="16" t="n">
        <v>427684</v>
      </c>
      <c r="S103" s="7"/>
      <c r="T103" s="7"/>
      <c r="U103" s="16" t="n">
        <v>13865517</v>
      </c>
      <c r="V103" s="16" t="n">
        <v>6623290</v>
      </c>
      <c r="W103" s="16" t="n">
        <v>3493980</v>
      </c>
      <c r="X103" s="16" t="n">
        <v>2514543</v>
      </c>
      <c r="Y103" s="16" t="n">
        <v>2355668</v>
      </c>
      <c r="Z103" s="16" t="n">
        <v>1992390</v>
      </c>
      <c r="AA103" s="7"/>
      <c r="AB103" s="7"/>
      <c r="AC103" s="16" t="n">
        <v>109300184</v>
      </c>
      <c r="AD103" s="16" t="n">
        <v>54816538</v>
      </c>
      <c r="AE103" s="16" t="n">
        <v>26735715</v>
      </c>
      <c r="AF103" s="16" t="n">
        <v>19658093</v>
      </c>
      <c r="AG103" s="16" t="n">
        <v>17839707</v>
      </c>
      <c r="AH103" s="16" t="n">
        <v>16676221</v>
      </c>
      <c r="AI103" s="8"/>
    </row>
    <row r="104" customFormat="false" ht="16.4" hidden="false" customHeight="false" outlineLevel="0" collapsed="false">
      <c r="B104" s="9"/>
      <c r="C104" s="14"/>
      <c r="D104" s="15" t="s">
        <v>38</v>
      </c>
      <c r="E104" s="16" t="n">
        <v>425930</v>
      </c>
      <c r="F104" s="16" t="n">
        <v>210849</v>
      </c>
      <c r="G104" s="16" t="n">
        <v>130463</v>
      </c>
      <c r="H104" s="16" t="n">
        <v>91295</v>
      </c>
      <c r="I104" s="16" t="n">
        <v>89599</v>
      </c>
      <c r="J104" s="16" t="n">
        <v>78149</v>
      </c>
      <c r="K104" s="7"/>
      <c r="L104" s="7"/>
      <c r="M104" s="16" t="n">
        <v>3852250</v>
      </c>
      <c r="N104" s="16" t="n">
        <v>1832742</v>
      </c>
      <c r="O104" s="16" t="n">
        <v>727312</v>
      </c>
      <c r="P104" s="16" t="n">
        <v>545847</v>
      </c>
      <c r="Q104" s="16" t="n">
        <v>485330</v>
      </c>
      <c r="R104" s="16" t="n">
        <v>450285</v>
      </c>
      <c r="S104" s="7"/>
      <c r="T104" s="7"/>
      <c r="U104" s="16" t="n">
        <v>14888466</v>
      </c>
      <c r="V104" s="16" t="n">
        <v>7450669</v>
      </c>
      <c r="W104" s="16" t="n">
        <v>3660573</v>
      </c>
      <c r="X104" s="16" t="n">
        <v>2349006</v>
      </c>
      <c r="Y104" s="16" t="n">
        <v>2104845</v>
      </c>
      <c r="Z104" s="16" t="n">
        <v>2272720</v>
      </c>
      <c r="AA104" s="7"/>
      <c r="AB104" s="7"/>
      <c r="AC104" s="16" t="n">
        <v>110095580</v>
      </c>
      <c r="AD104" s="16" t="n">
        <v>57303079</v>
      </c>
      <c r="AE104" s="16" t="n">
        <v>27894690</v>
      </c>
      <c r="AF104" s="16" t="n">
        <v>18375025</v>
      </c>
      <c r="AG104" s="16" t="n">
        <v>17299558</v>
      </c>
      <c r="AH104" s="16" t="n">
        <v>16941063</v>
      </c>
      <c r="AI104" s="8"/>
    </row>
    <row r="105" customFormat="false" ht="16.4" hidden="false" customHeight="false" outlineLevel="0" collapsed="false">
      <c r="B105" s="9"/>
      <c r="C105" s="14"/>
      <c r="D105" s="15" t="s">
        <v>39</v>
      </c>
      <c r="E105" s="16" t="n">
        <v>316393</v>
      </c>
      <c r="F105" s="16" t="n">
        <v>205053</v>
      </c>
      <c r="G105" s="16" t="n">
        <v>116254</v>
      </c>
      <c r="H105" s="16" t="n">
        <v>90366</v>
      </c>
      <c r="I105" s="16" t="n">
        <v>83328</v>
      </c>
      <c r="J105" s="16" t="n">
        <v>77763</v>
      </c>
      <c r="K105" s="7"/>
      <c r="L105" s="7"/>
      <c r="M105" s="16" t="n">
        <v>3564664</v>
      </c>
      <c r="N105" s="16" t="n">
        <v>1864419</v>
      </c>
      <c r="O105" s="16" t="n">
        <v>1009519</v>
      </c>
      <c r="P105" s="16" t="n">
        <v>506206</v>
      </c>
      <c r="Q105" s="16" t="n">
        <v>476457</v>
      </c>
      <c r="R105" s="16" t="n">
        <v>457343</v>
      </c>
      <c r="S105" s="7"/>
      <c r="T105" s="7"/>
      <c r="U105" s="16" t="n">
        <v>14368921</v>
      </c>
      <c r="V105" s="16" t="n">
        <v>7204320</v>
      </c>
      <c r="W105" s="16" t="n">
        <v>3358492</v>
      </c>
      <c r="X105" s="16" t="n">
        <v>2360047</v>
      </c>
      <c r="Y105" s="16" t="n">
        <v>2205923</v>
      </c>
      <c r="Z105" s="16" t="n">
        <v>2211678</v>
      </c>
      <c r="AA105" s="7"/>
      <c r="AB105" s="7"/>
      <c r="AC105" s="16" t="n">
        <v>111388525</v>
      </c>
      <c r="AD105" s="16" t="n">
        <v>60043660</v>
      </c>
      <c r="AE105" s="16" t="n">
        <v>29176220</v>
      </c>
      <c r="AF105" s="16" t="n">
        <v>18205733</v>
      </c>
      <c r="AG105" s="16" t="n">
        <v>16699309</v>
      </c>
      <c r="AH105" s="16" t="n">
        <v>16729274</v>
      </c>
      <c r="AI105" s="8"/>
    </row>
    <row r="106" customFormat="false" ht="16.4" hidden="false" customHeight="false" outlineLevel="0" collapsed="false">
      <c r="B106" s="9"/>
      <c r="C106" s="14"/>
      <c r="D106" s="15" t="s">
        <v>40</v>
      </c>
      <c r="E106" s="16" t="n">
        <v>389317</v>
      </c>
      <c r="F106" s="16" t="n">
        <v>223679</v>
      </c>
      <c r="G106" s="16" t="n">
        <v>129899</v>
      </c>
      <c r="H106" s="16" t="n">
        <v>94408</v>
      </c>
      <c r="I106" s="16" t="n">
        <v>87635</v>
      </c>
      <c r="J106" s="16" t="n">
        <v>80470</v>
      </c>
      <c r="K106" s="7"/>
      <c r="L106" s="7"/>
      <c r="M106" s="16" t="n">
        <v>3565577</v>
      </c>
      <c r="N106" s="16" t="n">
        <v>1766464</v>
      </c>
      <c r="O106" s="16" t="n">
        <v>794625</v>
      </c>
      <c r="P106" s="16" t="n">
        <v>514287</v>
      </c>
      <c r="Q106" s="16" t="n">
        <v>465811</v>
      </c>
      <c r="R106" s="16" t="n">
        <v>474258</v>
      </c>
      <c r="S106" s="7"/>
      <c r="T106" s="7"/>
      <c r="U106" s="16" t="n">
        <v>12733907</v>
      </c>
      <c r="V106" s="16" t="n">
        <v>7534496</v>
      </c>
      <c r="W106" s="16" t="n">
        <v>3707302</v>
      </c>
      <c r="X106" s="16" t="n">
        <v>2342870</v>
      </c>
      <c r="Y106" s="16" t="n">
        <v>2039023</v>
      </c>
      <c r="Z106" s="16" t="n">
        <v>2292086</v>
      </c>
      <c r="AA106" s="7"/>
      <c r="AB106" s="7"/>
      <c r="AC106" s="16" t="n">
        <v>118328358</v>
      </c>
      <c r="AD106" s="16" t="n">
        <v>55911831</v>
      </c>
      <c r="AE106" s="16" t="n">
        <v>28567554</v>
      </c>
      <c r="AF106" s="16" t="n">
        <v>18253729</v>
      </c>
      <c r="AG106" s="16" t="n">
        <v>17500908</v>
      </c>
      <c r="AH106" s="16" t="n">
        <v>18294437</v>
      </c>
      <c r="AI106" s="8"/>
    </row>
    <row r="107" customFormat="false" ht="14.25" hidden="false" customHeight="false" outlineLevel="0" collapsed="false">
      <c r="B107" s="9"/>
      <c r="C107" s="18"/>
      <c r="D107" s="19" t="s">
        <v>41</v>
      </c>
      <c r="E107" s="20" t="n">
        <f aca="false" t="array" ref="E107:E107">ROUND(AVERAGE(IF((ISNUMBER(E77:E106))*(E77:E106&lt;LARGE(E77:E106,2))*(E77:E106&gt;SMALL(E77:E106,2)),E77:E106)),0)</f>
        <v>348458</v>
      </c>
      <c r="F107" s="20" t="n">
        <f aca="false" t="array" ref="F107:F107">ROUND(AVERAGE(IF((ISNUMBER(F77:F106))*(F77:F106&lt;LARGE(F77:F106,2))*(F77:F106&gt;SMALL(F77:F106,2)),F77:F106)),0)</f>
        <v>204002</v>
      </c>
      <c r="G107" s="20" t="n">
        <f aca="false" t="array" ref="G107:G107">ROUND(AVERAGE(IF((ISNUMBER(G77:G106))*(G77:G106&lt;LARGE(G77:G106,2))*(G77:G106&gt;SMALL(G77:G106,2)),G77:G106)),0)</f>
        <v>125765</v>
      </c>
      <c r="H107" s="20" t="n">
        <f aca="false" t="array" ref="H107:H107">ROUND(AVERAGE(IF((ISNUMBER(H77:H106))*(H77:H106&lt;LARGE(H77:H106,2))*(H77:H106&gt;SMALL(H77:H106,2)),H77:H106)),0)</f>
        <v>90604</v>
      </c>
      <c r="I107" s="20" t="n">
        <f aca="false" t="array" ref="I107:I107">ROUND(AVERAGE(IF((ISNUMBER(I77:I106))*(I77:I106&lt;LARGE(I77:I106,2))*(I77:I106&gt;SMALL(I77:I106,2)),I77:I106)),0)</f>
        <v>83879</v>
      </c>
      <c r="J107" s="20" t="n">
        <f aca="false" t="array" ref="J107:J107">ROUND(AVERAGE(IF((ISNUMBER(J77:J106))*(J77:J106&lt;LARGE(J77:J106,2))*(J77:J106&gt;SMALL(J77:J106,2)),J77:J106)),0)</f>
        <v>79293</v>
      </c>
      <c r="K107" s="20"/>
      <c r="L107" s="20"/>
      <c r="M107" s="20" t="n">
        <f aca="false" t="array" ref="M107:M107">ROUND(AVERAGE(IF((ISNUMBER(M77:M106))*(M77:M106&lt;LARGE(M77:M106,2))*(M77:M106&gt;SMALL(M77:M106,2)),M77:M106)),0)</f>
        <v>3505178</v>
      </c>
      <c r="N107" s="20" t="n">
        <f aca="false" t="array" ref="N107:N107">ROUND(AVERAGE(IF((ISNUMBER(N77:N106))*(N77:N106&lt;LARGE(N77:N106,2))*(N77:N106&gt;SMALL(N77:N106,2)),N77:N106)),0)</f>
        <v>1754005</v>
      </c>
      <c r="O107" s="20" t="n">
        <f aca="false" t="array" ref="O107:O107">ROUND(AVERAGE(IF((ISNUMBER(O77:O106))*(O77:O106&lt;LARGE(O77:O106,2))*(O77:O106&gt;SMALL(O77:O106,2)),O77:O106)),0)</f>
        <v>895523</v>
      </c>
      <c r="P107" s="20" t="n">
        <f aca="false" t="array" ref="P107:P107">ROUND(AVERAGE(IF((ISNUMBER(P77:P106))*(P77:P106&lt;LARGE(P77:P106,2))*(P77:P106&gt;SMALL(P77:P106,2)),P77:P106)),0)</f>
        <v>525825</v>
      </c>
      <c r="Q107" s="20" t="n">
        <f aca="false" t="array" ref="Q107:Q107">ROUND(AVERAGE(IF((ISNUMBER(Q77:Q106))*(Q77:Q106&lt;LARGE(Q77:Q106,2))*(Q77:Q106&gt;SMALL(Q77:Q106,2)),Q77:Q106)),0)</f>
        <v>493885</v>
      </c>
      <c r="R107" s="20" t="n">
        <f aca="false" t="array" ref="R107:R107">ROUND(AVERAGE(IF((ISNUMBER(R77:R106))*(R77:R106&lt;LARGE(R77:R106,2))*(R77:R106&gt;SMALL(R77:R106,2)),R77:R106)),0)</f>
        <v>458028</v>
      </c>
      <c r="S107" s="20"/>
      <c r="T107" s="20"/>
      <c r="U107" s="20" t="n">
        <f aca="false" t="array" ref="U107:U107">ROUND(AVERAGE(IF((ISNUMBER(U77:U106))*(U77:U106&lt;LARGE(U77:U106,2))*(U77:U106&gt;SMALL(U77:U106,2)),U77:U106)),0)</f>
        <v>14070331</v>
      </c>
      <c r="V107" s="20" t="n">
        <f aca="false" t="array" ref="V107:V107">ROUND(AVERAGE(IF((ISNUMBER(V77:V106))*(V77:V106&lt;LARGE(V77:V106,2))*(V77:V106&gt;SMALL(V77:V106,2)),V77:V106)),0)</f>
        <v>7160186</v>
      </c>
      <c r="W107" s="20" t="n">
        <f aca="false" t="array" ref="W107:W107">ROUND(AVERAGE(IF((ISNUMBER(W77:W106))*(W77:W106&lt;LARGE(W77:W106,2))*(W77:W106&gt;SMALL(W77:W106,2)),W77:W106)),0)</f>
        <v>3593381</v>
      </c>
      <c r="X107" s="20" t="n">
        <f aca="false" t="array" ref="X107:X107">ROUND(AVERAGE(IF((ISNUMBER(X77:X106))*(X77:X106&lt;LARGE(X77:X106,2))*(X77:X106&gt;SMALL(X77:X106,2)),X77:X106)),0)</f>
        <v>2491432</v>
      </c>
      <c r="Y107" s="20" t="n">
        <f aca="false" t="array" ref="Y107:Y107">ROUND(AVERAGE(IF((ISNUMBER(Y77:Y106))*(Y77:Y106&lt;LARGE(Y77:Y106,2))*(Y77:Y106&gt;SMALL(Y77:Y106,2)),Y77:Y106)),0)</f>
        <v>2168736</v>
      </c>
      <c r="Z107" s="20" t="n">
        <f aca="false" t="array" ref="Z107:Z107">ROUND(AVERAGE(IF((ISNUMBER(Z77:Z106))*(Z77:Z106&lt;LARGE(Z77:Z106,2))*(Z77:Z106&gt;SMALL(Z77:Z106,2)),Z77:Z106)),0)</f>
        <v>2110173</v>
      </c>
      <c r="AA107" s="20"/>
      <c r="AB107" s="20"/>
      <c r="AC107" s="20" t="n">
        <f aca="false" t="array" ref="AC107:AC107">ROUND(AVERAGE(IF((ISNUMBER(AC77:AC106))*(AC77:AC106&lt;LARGE(AC77:AC106,2))*(AC77:AC106&gt;SMALL(AC77:AC106,2)),AC77:AC106)),0)</f>
        <v>112980694</v>
      </c>
      <c r="AD107" s="20" t="n">
        <f aca="false" t="array" ref="AD107:AD107">ROUND(AVERAGE(IF((ISNUMBER(AD77:AD106))*(AD77:AD106&lt;LARGE(AD77:AD106,2))*(AD77:AD106&gt;SMALL(AD77:AD106,2)),AD77:AD106)),0)</f>
        <v>56280088</v>
      </c>
      <c r="AE107" s="20" t="n">
        <f aca="false" t="array" ref="AE107:AE107">ROUND(AVERAGE(IF((ISNUMBER(AE77:AE106))*(AE77:AE106&lt;LARGE(AE77:AE106,2))*(AE77:AE106&gt;SMALL(AE77:AE106,2)),AE77:AE106)),0)</f>
        <v>27669271</v>
      </c>
      <c r="AF107" s="20" t="n">
        <f aca="false" t="array" ref="AF107:AF107">ROUND(AVERAGE(IF((ISNUMBER(AF77:AF106))*(AF77:AF106&lt;LARGE(AF77:AF106,2))*(AF77:AF106&gt;SMALL(AF77:AF106,2)),AF77:AF106)),0)</f>
        <v>19196676</v>
      </c>
      <c r="AG107" s="20" t="n">
        <f aca="false" t="array" ref="AG107:AG107">ROUND(AVERAGE(IF((ISNUMBER(AG77:AG106))*(AG77:AG106&lt;LARGE(AG77:AG106,2))*(AG77:AG106&gt;SMALL(AG77:AG106,2)),AG77:AG106)),0)</f>
        <v>17465188</v>
      </c>
      <c r="AH107" s="21" t="n">
        <f aca="false" t="array" ref="AH107:AH107">ROUND(AVERAGE(IF((ISNUMBER(AH77:AH106))*(AH77:AH106&lt;LARGE(AH77:AH106,2))*(AH77:AH106&gt;SMALL(AH77:AH106,2)),AH77:AH106)),0)</f>
        <v>16956063</v>
      </c>
      <c r="AI107" s="8"/>
    </row>
    <row r="108" customFormat="false" ht="14.25" hidden="false" customHeight="false" outlineLevel="0" collapsed="false"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5"/>
    </row>
    <row r="109" customFormat="false" ht="14.25" hidden="false" customHeight="false" outlineLevel="0" collapsed="false">
      <c r="B109" s="26"/>
      <c r="C109" s="7"/>
      <c r="D109" s="1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 customFormat="false" ht="33.85" hidden="false" customHeight="false" outlineLevel="0" collapsed="false">
      <c r="B110" s="1" t="s">
        <v>46</v>
      </c>
      <c r="C110" s="2"/>
      <c r="D110" s="2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4"/>
    </row>
    <row r="111" customFormat="false" ht="14.25" hidden="false" customHeight="false" outlineLevel="0" collapsed="false">
      <c r="B111" s="29"/>
      <c r="C111" s="6"/>
      <c r="D111" s="2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8"/>
    </row>
    <row r="112" customFormat="false" ht="14.25" hidden="false" customHeight="false" outlineLevel="0" collapsed="false">
      <c r="B112" s="30"/>
      <c r="C112" s="10" t="s">
        <v>1</v>
      </c>
      <c r="D112" s="11"/>
      <c r="E112" s="11" t="s">
        <v>2</v>
      </c>
      <c r="F112" s="11" t="s">
        <v>3</v>
      </c>
      <c r="G112" s="11" t="s">
        <v>4</v>
      </c>
      <c r="H112" s="11" t="s">
        <v>5</v>
      </c>
      <c r="I112" s="11" t="s">
        <v>6</v>
      </c>
      <c r="J112" s="11" t="s">
        <v>7</v>
      </c>
      <c r="K112" s="12" t="s">
        <v>8</v>
      </c>
      <c r="L112" s="12"/>
      <c r="M112" s="11" t="s">
        <v>2</v>
      </c>
      <c r="N112" s="11" t="s">
        <v>3</v>
      </c>
      <c r="O112" s="11" t="s">
        <v>4</v>
      </c>
      <c r="P112" s="11" t="s">
        <v>5</v>
      </c>
      <c r="Q112" s="11" t="s">
        <v>6</v>
      </c>
      <c r="R112" s="11" t="s">
        <v>7</v>
      </c>
      <c r="S112" s="12" t="s">
        <v>43</v>
      </c>
      <c r="T112" s="12"/>
      <c r="U112" s="11" t="s">
        <v>2</v>
      </c>
      <c r="V112" s="11" t="s">
        <v>3</v>
      </c>
      <c r="W112" s="11" t="s">
        <v>4</v>
      </c>
      <c r="X112" s="11" t="s">
        <v>5</v>
      </c>
      <c r="Y112" s="11" t="s">
        <v>6</v>
      </c>
      <c r="Z112" s="11" t="s">
        <v>7</v>
      </c>
      <c r="AA112" s="12" t="s">
        <v>10</v>
      </c>
      <c r="AB112" s="12"/>
      <c r="AC112" s="11" t="s">
        <v>2</v>
      </c>
      <c r="AD112" s="11" t="s">
        <v>3</v>
      </c>
      <c r="AE112" s="11" t="s">
        <v>4</v>
      </c>
      <c r="AF112" s="11" t="s">
        <v>5</v>
      </c>
      <c r="AG112" s="11" t="s">
        <v>6</v>
      </c>
      <c r="AH112" s="13" t="s">
        <v>7</v>
      </c>
      <c r="AI112" s="8"/>
    </row>
    <row r="113" customFormat="false" ht="16.4" hidden="false" customHeight="false" outlineLevel="0" collapsed="false">
      <c r="B113" s="30"/>
      <c r="C113" s="14"/>
      <c r="D113" s="15" t="s">
        <v>11</v>
      </c>
      <c r="E113" s="16" t="n">
        <v>310344</v>
      </c>
      <c r="F113" s="16" t="n">
        <v>114404</v>
      </c>
      <c r="G113" s="16" t="n">
        <v>102690</v>
      </c>
      <c r="H113" s="16" t="n">
        <v>82324</v>
      </c>
      <c r="I113" s="16" t="n">
        <v>74351</v>
      </c>
      <c r="J113" s="16" t="n">
        <v>67204</v>
      </c>
      <c r="K113" s="7"/>
      <c r="L113" s="7"/>
      <c r="M113" s="16" t="n">
        <v>1637595</v>
      </c>
      <c r="N113" s="16" t="n">
        <v>952865</v>
      </c>
      <c r="O113" s="16" t="n">
        <v>555605</v>
      </c>
      <c r="P113" s="16" t="n">
        <v>405678</v>
      </c>
      <c r="Q113" s="16" t="n">
        <v>346577</v>
      </c>
      <c r="R113" s="16" t="n">
        <v>320992</v>
      </c>
      <c r="S113" s="7"/>
      <c r="T113" s="7"/>
      <c r="U113" s="16" t="n">
        <v>5657082</v>
      </c>
      <c r="V113" s="16" t="n">
        <v>2992317</v>
      </c>
      <c r="W113" s="16" t="n">
        <v>1619530</v>
      </c>
      <c r="X113" s="16" t="n">
        <v>1157804</v>
      </c>
      <c r="Y113" s="16" t="n">
        <v>1028146</v>
      </c>
      <c r="Z113" s="16" t="n">
        <v>992573</v>
      </c>
      <c r="AA113" s="7"/>
      <c r="AB113" s="7"/>
      <c r="AC113" s="16" t="n">
        <v>17194905</v>
      </c>
      <c r="AD113" s="16" t="n">
        <v>7740190</v>
      </c>
      <c r="AE113" s="16" t="n">
        <v>4312392</v>
      </c>
      <c r="AF113" s="16" t="n">
        <v>2823850</v>
      </c>
      <c r="AG113" s="16" t="n">
        <v>2698717</v>
      </c>
      <c r="AH113" s="16" t="n">
        <v>2643929</v>
      </c>
      <c r="AI113" s="8"/>
    </row>
    <row r="114" customFormat="false" ht="16.4" hidden="false" customHeight="false" outlineLevel="0" collapsed="false">
      <c r="B114" s="30"/>
      <c r="C114" s="14"/>
      <c r="D114" s="15" t="s">
        <v>12</v>
      </c>
      <c r="E114" s="16" t="n">
        <v>218532</v>
      </c>
      <c r="F114" s="16" t="n">
        <v>155939</v>
      </c>
      <c r="G114" s="16" t="n">
        <v>99303</v>
      </c>
      <c r="H114" s="16" t="n">
        <v>81718</v>
      </c>
      <c r="I114" s="16" t="n">
        <v>67865</v>
      </c>
      <c r="J114" s="16" t="n">
        <v>67773</v>
      </c>
      <c r="K114" s="7"/>
      <c r="L114" s="7"/>
      <c r="M114" s="16" t="n">
        <v>1747529</v>
      </c>
      <c r="N114" s="16" t="n">
        <v>1038106</v>
      </c>
      <c r="O114" s="16" t="n">
        <v>532754</v>
      </c>
      <c r="P114" s="16" t="n">
        <v>341926</v>
      </c>
      <c r="Q114" s="16" t="n">
        <v>396424</v>
      </c>
      <c r="R114" s="16" t="n">
        <v>328167</v>
      </c>
      <c r="S114" s="7"/>
      <c r="T114" s="7"/>
      <c r="U114" s="16" t="n">
        <v>4271522</v>
      </c>
      <c r="V114" s="16" t="n">
        <v>3495701</v>
      </c>
      <c r="W114" s="16" t="n">
        <v>1640421</v>
      </c>
      <c r="X114" s="16" t="n">
        <v>1103358</v>
      </c>
      <c r="Y114" s="16" t="n">
        <v>982831</v>
      </c>
      <c r="Z114" s="16" t="n">
        <v>951614</v>
      </c>
      <c r="AA114" s="7"/>
      <c r="AB114" s="7"/>
      <c r="AC114" s="16" t="n">
        <v>15923119</v>
      </c>
      <c r="AD114" s="16" t="n">
        <v>7980895</v>
      </c>
      <c r="AE114" s="16" t="n">
        <v>4224352</v>
      </c>
      <c r="AF114" s="16" t="n">
        <v>3050787</v>
      </c>
      <c r="AG114" s="16" t="n">
        <v>2578472</v>
      </c>
      <c r="AH114" s="16" t="n">
        <v>2562756</v>
      </c>
      <c r="AI114" s="8"/>
    </row>
    <row r="115" customFormat="false" ht="16.4" hidden="false" customHeight="false" outlineLevel="0" collapsed="false">
      <c r="B115" s="30"/>
      <c r="C115" s="14"/>
      <c r="D115" s="15" t="s">
        <v>13</v>
      </c>
      <c r="E115" s="16" t="n">
        <v>302010</v>
      </c>
      <c r="F115" s="16" t="n">
        <v>166960</v>
      </c>
      <c r="G115" s="16" t="n">
        <v>111587</v>
      </c>
      <c r="H115" s="16" t="n">
        <v>86945</v>
      </c>
      <c r="I115" s="16" t="n">
        <v>67080</v>
      </c>
      <c r="J115" s="16" t="n">
        <v>65815</v>
      </c>
      <c r="K115" s="7"/>
      <c r="L115" s="7"/>
      <c r="M115" s="16" t="n">
        <v>1869001</v>
      </c>
      <c r="N115" s="16" t="n">
        <v>872750</v>
      </c>
      <c r="O115" s="16" t="n">
        <v>458569</v>
      </c>
      <c r="P115" s="16" t="n">
        <v>368033</v>
      </c>
      <c r="Q115" s="16" t="n">
        <v>399732</v>
      </c>
      <c r="R115" s="16" t="n">
        <v>337514</v>
      </c>
      <c r="S115" s="7"/>
      <c r="T115" s="7"/>
      <c r="U115" s="16" t="n">
        <v>5771383</v>
      </c>
      <c r="V115" s="16" t="n">
        <v>3417697</v>
      </c>
      <c r="W115" s="16" t="n">
        <v>1532620</v>
      </c>
      <c r="X115" s="16" t="n">
        <v>1175204</v>
      </c>
      <c r="Y115" s="16" t="n">
        <v>1043406</v>
      </c>
      <c r="Z115" s="16" t="n">
        <v>981360</v>
      </c>
      <c r="AA115" s="7"/>
      <c r="AB115" s="7"/>
      <c r="AC115" s="16" t="n">
        <v>15460627</v>
      </c>
      <c r="AD115" s="16" t="n">
        <v>7899662</v>
      </c>
      <c r="AE115" s="16" t="n">
        <v>3953245</v>
      </c>
      <c r="AF115" s="16" t="n">
        <v>2999019</v>
      </c>
      <c r="AG115" s="16" t="n">
        <v>2621282</v>
      </c>
      <c r="AH115" s="16" t="n">
        <v>2681779</v>
      </c>
      <c r="AI115" s="8"/>
    </row>
    <row r="116" customFormat="false" ht="16.4" hidden="false" customHeight="false" outlineLevel="0" collapsed="false">
      <c r="B116" s="30"/>
      <c r="C116" s="14"/>
      <c r="D116" s="15" t="s">
        <v>14</v>
      </c>
      <c r="E116" s="16" t="n">
        <v>301762</v>
      </c>
      <c r="F116" s="16" t="n">
        <v>159576</v>
      </c>
      <c r="G116" s="16" t="n">
        <v>100965</v>
      </c>
      <c r="H116" s="16" t="n">
        <v>71183</v>
      </c>
      <c r="I116" s="16" t="n">
        <v>68295</v>
      </c>
      <c r="J116" s="16" t="n">
        <v>72696</v>
      </c>
      <c r="K116" s="7"/>
      <c r="L116" s="7"/>
      <c r="M116" s="16" t="n">
        <v>2113863</v>
      </c>
      <c r="N116" s="16" t="n">
        <v>900410</v>
      </c>
      <c r="O116" s="16" t="n">
        <v>570280</v>
      </c>
      <c r="P116" s="16" t="n">
        <v>368839</v>
      </c>
      <c r="Q116" s="16" t="n">
        <v>328543</v>
      </c>
      <c r="R116" s="16" t="n">
        <v>318630</v>
      </c>
      <c r="S116" s="7"/>
      <c r="T116" s="7"/>
      <c r="U116" s="16" t="n">
        <v>5812592</v>
      </c>
      <c r="V116" s="16" t="n">
        <v>3268064</v>
      </c>
      <c r="W116" s="16" t="n">
        <v>1653393</v>
      </c>
      <c r="X116" s="16" t="n">
        <v>1147380</v>
      </c>
      <c r="Y116" s="16" t="n">
        <v>998936</v>
      </c>
      <c r="Z116" s="16" t="n">
        <v>1004245</v>
      </c>
      <c r="AA116" s="7"/>
      <c r="AB116" s="7"/>
      <c r="AC116" s="16" t="n">
        <v>14436353</v>
      </c>
      <c r="AD116" s="16" t="n">
        <v>8361030</v>
      </c>
      <c r="AE116" s="16" t="n">
        <v>4059313</v>
      </c>
      <c r="AF116" s="16" t="n">
        <v>2934915</v>
      </c>
      <c r="AG116" s="16" t="n">
        <v>2625598</v>
      </c>
      <c r="AH116" s="16" t="n">
        <v>2678103</v>
      </c>
      <c r="AI116" s="8"/>
    </row>
    <row r="117" customFormat="false" ht="16.4" hidden="false" customHeight="false" outlineLevel="0" collapsed="false">
      <c r="B117" s="30"/>
      <c r="C117" s="14"/>
      <c r="D117" s="15" t="s">
        <v>15</v>
      </c>
      <c r="E117" s="16" t="n">
        <v>283664</v>
      </c>
      <c r="F117" s="16" t="n">
        <v>155692</v>
      </c>
      <c r="G117" s="16" t="n">
        <v>99487</v>
      </c>
      <c r="H117" s="16" t="n">
        <v>79958</v>
      </c>
      <c r="I117" s="16" t="n">
        <v>76570</v>
      </c>
      <c r="J117" s="16" t="n">
        <v>62866</v>
      </c>
      <c r="K117" s="7"/>
      <c r="L117" s="7"/>
      <c r="M117" s="16" t="n">
        <v>1760845</v>
      </c>
      <c r="N117" s="16" t="n">
        <v>925478</v>
      </c>
      <c r="O117" s="16" t="n">
        <v>518794</v>
      </c>
      <c r="P117" s="16" t="n">
        <v>401154</v>
      </c>
      <c r="Q117" s="16" t="n">
        <v>333150</v>
      </c>
      <c r="R117" s="16" t="n">
        <v>377183</v>
      </c>
      <c r="S117" s="7"/>
      <c r="T117" s="7"/>
      <c r="U117" s="16" t="n">
        <v>5605087</v>
      </c>
      <c r="V117" s="16" t="n">
        <v>3073436</v>
      </c>
      <c r="W117" s="16" t="n">
        <v>1791621</v>
      </c>
      <c r="X117" s="16" t="n">
        <v>1196170</v>
      </c>
      <c r="Y117" s="16" t="n">
        <v>998655</v>
      </c>
      <c r="Z117" s="16" t="n">
        <v>1070191</v>
      </c>
      <c r="AA117" s="7"/>
      <c r="AB117" s="7"/>
      <c r="AC117" s="16" t="n">
        <v>14699173</v>
      </c>
      <c r="AD117" s="16" t="n">
        <v>9105142</v>
      </c>
      <c r="AE117" s="16" t="n">
        <v>3916938</v>
      </c>
      <c r="AF117" s="16" t="n">
        <v>2690306</v>
      </c>
      <c r="AG117" s="16" t="n">
        <v>2404746</v>
      </c>
      <c r="AH117" s="16" t="n">
        <v>2537408</v>
      </c>
      <c r="AI117" s="8"/>
    </row>
    <row r="118" customFormat="false" ht="16.4" hidden="false" customHeight="false" outlineLevel="0" collapsed="false">
      <c r="B118" s="30"/>
      <c r="C118" s="14"/>
      <c r="D118" s="15" t="s">
        <v>16</v>
      </c>
      <c r="E118" s="16" t="n">
        <v>284068</v>
      </c>
      <c r="F118" s="16" t="n">
        <v>201353</v>
      </c>
      <c r="G118" s="16" t="n">
        <v>99507</v>
      </c>
      <c r="H118" s="16" t="n">
        <v>81216</v>
      </c>
      <c r="I118" s="16" t="n">
        <v>68437</v>
      </c>
      <c r="J118" s="16" t="n">
        <v>71290</v>
      </c>
      <c r="K118" s="7"/>
      <c r="L118" s="7"/>
      <c r="M118" s="16" t="n">
        <v>1873055</v>
      </c>
      <c r="N118" s="16" t="n">
        <v>867352</v>
      </c>
      <c r="O118" s="16" t="n">
        <v>575072</v>
      </c>
      <c r="P118" s="16" t="n">
        <v>373282</v>
      </c>
      <c r="Q118" s="16" t="n">
        <v>348885</v>
      </c>
      <c r="R118" s="16" t="n">
        <v>315060</v>
      </c>
      <c r="S118" s="7"/>
      <c r="T118" s="7"/>
      <c r="U118" s="16" t="n">
        <v>5994666</v>
      </c>
      <c r="V118" s="16" t="n">
        <v>2985792</v>
      </c>
      <c r="W118" s="16" t="n">
        <v>1648193</v>
      </c>
      <c r="X118" s="16" t="n">
        <v>1167777</v>
      </c>
      <c r="Y118" s="16" t="n">
        <v>1032630</v>
      </c>
      <c r="Z118" s="16" t="n">
        <v>984725</v>
      </c>
      <c r="AA118" s="7"/>
      <c r="AB118" s="7"/>
      <c r="AC118" s="16" t="n">
        <v>14683969</v>
      </c>
      <c r="AD118" s="16" t="n">
        <v>9227115</v>
      </c>
      <c r="AE118" s="16" t="n">
        <v>4465287</v>
      </c>
      <c r="AF118" s="16" t="n">
        <v>2596603</v>
      </c>
      <c r="AG118" s="16" t="n">
        <v>2413463</v>
      </c>
      <c r="AH118" s="16" t="n">
        <v>2461798</v>
      </c>
      <c r="AI118" s="8"/>
    </row>
    <row r="119" customFormat="false" ht="16.4" hidden="false" customHeight="false" outlineLevel="0" collapsed="false">
      <c r="B119" s="30"/>
      <c r="C119" s="14"/>
      <c r="D119" s="15" t="s">
        <v>17</v>
      </c>
      <c r="E119" s="16" t="n">
        <v>222066</v>
      </c>
      <c r="F119" s="16" t="n">
        <v>138015</v>
      </c>
      <c r="G119" s="16" t="n">
        <v>99853</v>
      </c>
      <c r="H119" s="16" t="n">
        <v>81706</v>
      </c>
      <c r="I119" s="16" t="n">
        <v>71388</v>
      </c>
      <c r="J119" s="16" t="n">
        <v>77805</v>
      </c>
      <c r="K119" s="7"/>
      <c r="L119" s="7"/>
      <c r="M119" s="16" t="n">
        <v>1703979</v>
      </c>
      <c r="N119" s="16" t="n">
        <v>878123</v>
      </c>
      <c r="O119" s="16" t="n">
        <v>541052</v>
      </c>
      <c r="P119" s="16" t="n">
        <v>387258</v>
      </c>
      <c r="Q119" s="16" t="n">
        <v>334969</v>
      </c>
      <c r="R119" s="16" t="n">
        <v>318814</v>
      </c>
      <c r="S119" s="7"/>
      <c r="T119" s="7"/>
      <c r="U119" s="16" t="n">
        <v>4897663</v>
      </c>
      <c r="V119" s="16" t="n">
        <v>2843953</v>
      </c>
      <c r="W119" s="16" t="n">
        <v>1580498</v>
      </c>
      <c r="X119" s="16" t="n">
        <v>1227812</v>
      </c>
      <c r="Y119" s="16" t="n">
        <v>1104637</v>
      </c>
      <c r="Z119" s="16" t="n">
        <v>1001142</v>
      </c>
      <c r="AA119" s="7"/>
      <c r="AB119" s="7"/>
      <c r="AC119" s="16" t="n">
        <v>16543857</v>
      </c>
      <c r="AD119" s="16" t="n">
        <v>8118385</v>
      </c>
      <c r="AE119" s="16" t="n">
        <v>4208470</v>
      </c>
      <c r="AF119" s="16" t="n">
        <v>2944438</v>
      </c>
      <c r="AG119" s="16" t="n">
        <v>2423243</v>
      </c>
      <c r="AH119" s="16" t="n">
        <v>2548981</v>
      </c>
      <c r="AI119" s="8"/>
    </row>
    <row r="120" customFormat="false" ht="16.4" hidden="false" customHeight="false" outlineLevel="0" collapsed="false">
      <c r="B120" s="30"/>
      <c r="C120" s="14"/>
      <c r="D120" s="15" t="s">
        <v>18</v>
      </c>
      <c r="E120" s="16" t="n">
        <v>241060</v>
      </c>
      <c r="F120" s="16" t="n">
        <v>162860</v>
      </c>
      <c r="G120" s="16" t="n">
        <v>100875</v>
      </c>
      <c r="H120" s="16" t="n">
        <v>81834</v>
      </c>
      <c r="I120" s="16" t="n">
        <v>77852</v>
      </c>
      <c r="J120" s="16" t="n">
        <v>62704</v>
      </c>
      <c r="K120" s="7"/>
      <c r="L120" s="7"/>
      <c r="M120" s="16" t="n">
        <v>1654675</v>
      </c>
      <c r="N120" s="16" t="n">
        <v>974175</v>
      </c>
      <c r="O120" s="16" t="n">
        <v>468475</v>
      </c>
      <c r="P120" s="16" t="n">
        <v>350203</v>
      </c>
      <c r="Q120" s="16" t="n">
        <v>329414</v>
      </c>
      <c r="R120" s="16" t="n">
        <v>330569</v>
      </c>
      <c r="S120" s="7"/>
      <c r="T120" s="7"/>
      <c r="U120" s="16" t="n">
        <v>5428330</v>
      </c>
      <c r="V120" s="16" t="n">
        <v>3062596</v>
      </c>
      <c r="W120" s="16" t="n">
        <v>1828354</v>
      </c>
      <c r="X120" s="16" t="n">
        <v>1146630</v>
      </c>
      <c r="Y120" s="16" t="n">
        <v>1037113</v>
      </c>
      <c r="Z120" s="16" t="n">
        <v>1020383</v>
      </c>
      <c r="AA120" s="7"/>
      <c r="AB120" s="7"/>
      <c r="AC120" s="16" t="n">
        <v>16100472</v>
      </c>
      <c r="AD120" s="16" t="n">
        <v>7464305</v>
      </c>
      <c r="AE120" s="16" t="n">
        <v>4006668</v>
      </c>
      <c r="AF120" s="16" t="n">
        <v>2883612</v>
      </c>
      <c r="AG120" s="16" t="n">
        <v>2559791</v>
      </c>
      <c r="AH120" s="16" t="n">
        <v>2589008</v>
      </c>
      <c r="AI120" s="8"/>
    </row>
    <row r="121" customFormat="false" ht="16.4" hidden="false" customHeight="false" outlineLevel="0" collapsed="false">
      <c r="B121" s="30"/>
      <c r="C121" s="14"/>
      <c r="D121" s="15" t="s">
        <v>19</v>
      </c>
      <c r="E121" s="16" t="n">
        <v>239548</v>
      </c>
      <c r="F121" s="16" t="n">
        <v>158943</v>
      </c>
      <c r="G121" s="16" t="n">
        <v>100859</v>
      </c>
      <c r="H121" s="16" t="n">
        <v>84210</v>
      </c>
      <c r="I121" s="16" t="n">
        <v>73757</v>
      </c>
      <c r="J121" s="16" t="n">
        <v>68902</v>
      </c>
      <c r="K121" s="7"/>
      <c r="L121" s="7"/>
      <c r="M121" s="16" t="n">
        <v>1680354</v>
      </c>
      <c r="N121" s="16" t="n">
        <v>1154287</v>
      </c>
      <c r="O121" s="16" t="n">
        <v>460873</v>
      </c>
      <c r="P121" s="16" t="n">
        <v>393569</v>
      </c>
      <c r="Q121" s="16" t="n">
        <v>323484</v>
      </c>
      <c r="R121" s="16" t="n">
        <v>363021</v>
      </c>
      <c r="S121" s="7"/>
      <c r="T121" s="7"/>
      <c r="U121" s="16" t="n">
        <v>5930187</v>
      </c>
      <c r="V121" s="16" t="n">
        <v>3066511</v>
      </c>
      <c r="W121" s="16" t="n">
        <v>1657345</v>
      </c>
      <c r="X121" s="16" t="n">
        <v>1175263</v>
      </c>
      <c r="Y121" s="16" t="n">
        <v>1008504</v>
      </c>
      <c r="Z121" s="16" t="n">
        <v>988451</v>
      </c>
      <c r="AA121" s="7"/>
      <c r="AB121" s="7"/>
      <c r="AC121" s="16" t="n">
        <v>15774248</v>
      </c>
      <c r="AD121" s="16" t="n">
        <v>8760303</v>
      </c>
      <c r="AE121" s="16" t="n">
        <v>3961194</v>
      </c>
      <c r="AF121" s="16" t="n">
        <v>2815614</v>
      </c>
      <c r="AG121" s="16" t="n">
        <v>2688045</v>
      </c>
      <c r="AH121" s="16" t="n">
        <v>2442776</v>
      </c>
      <c r="AI121" s="8"/>
    </row>
    <row r="122" customFormat="false" ht="16.4" hidden="false" customHeight="false" outlineLevel="0" collapsed="false">
      <c r="B122" s="30"/>
      <c r="C122" s="14"/>
      <c r="D122" s="15" t="s">
        <v>20</v>
      </c>
      <c r="E122" s="16" t="n">
        <v>262415</v>
      </c>
      <c r="F122" s="16" t="n">
        <v>158967</v>
      </c>
      <c r="G122" s="16" t="n">
        <v>99072</v>
      </c>
      <c r="H122" s="16" t="n">
        <v>81166</v>
      </c>
      <c r="I122" s="16" t="n">
        <v>68403</v>
      </c>
      <c r="J122" s="16" t="n">
        <v>66837</v>
      </c>
      <c r="K122" s="7"/>
      <c r="L122" s="7"/>
      <c r="M122" s="16" t="n">
        <v>1682708</v>
      </c>
      <c r="N122" s="16" t="n">
        <v>963471</v>
      </c>
      <c r="O122" s="16" t="n">
        <v>517380</v>
      </c>
      <c r="P122" s="16" t="n">
        <v>377290</v>
      </c>
      <c r="Q122" s="16" t="n">
        <v>352525</v>
      </c>
      <c r="R122" s="16" t="n">
        <v>353041</v>
      </c>
      <c r="S122" s="7"/>
      <c r="T122" s="7"/>
      <c r="U122" s="16" t="n">
        <v>6076083</v>
      </c>
      <c r="V122" s="16" t="n">
        <v>3212349</v>
      </c>
      <c r="W122" s="16" t="n">
        <v>1495695</v>
      </c>
      <c r="X122" s="16" t="n">
        <v>1129262</v>
      </c>
      <c r="Y122" s="16" t="n">
        <v>1004800</v>
      </c>
      <c r="Z122" s="16" t="n">
        <v>995944</v>
      </c>
      <c r="AA122" s="7"/>
      <c r="AB122" s="7"/>
      <c r="AC122" s="16" t="n">
        <v>15619593</v>
      </c>
      <c r="AD122" s="16" t="n">
        <v>8768739</v>
      </c>
      <c r="AE122" s="16" t="n">
        <v>3939820</v>
      </c>
      <c r="AF122" s="16" t="n">
        <v>2771479</v>
      </c>
      <c r="AG122" s="16" t="n">
        <v>2663762</v>
      </c>
      <c r="AH122" s="16" t="n">
        <v>2404400</v>
      </c>
      <c r="AI122" s="8"/>
    </row>
    <row r="123" customFormat="false" ht="16.4" hidden="false" customHeight="false" outlineLevel="0" collapsed="false">
      <c r="B123" s="30"/>
      <c r="C123" s="14"/>
      <c r="D123" s="15" t="s">
        <v>21</v>
      </c>
      <c r="E123" s="16" t="n">
        <v>252682</v>
      </c>
      <c r="F123" s="16" t="n">
        <v>153343</v>
      </c>
      <c r="G123" s="16" t="n">
        <v>104497</v>
      </c>
      <c r="H123" s="16" t="n">
        <v>71480</v>
      </c>
      <c r="I123" s="16" t="n">
        <v>73212</v>
      </c>
      <c r="J123" s="16" t="n">
        <v>66029</v>
      </c>
      <c r="K123" s="7"/>
      <c r="L123" s="7"/>
      <c r="M123" s="16" t="n">
        <v>1751944</v>
      </c>
      <c r="N123" s="16" t="n">
        <v>1016853</v>
      </c>
      <c r="O123" s="16" t="n">
        <v>514374</v>
      </c>
      <c r="P123" s="16" t="n">
        <v>360763</v>
      </c>
      <c r="Q123" s="16" t="n">
        <v>378220</v>
      </c>
      <c r="R123" s="16" t="n">
        <v>314591</v>
      </c>
      <c r="S123" s="7"/>
      <c r="T123" s="7"/>
      <c r="U123" s="16" t="n">
        <v>5935391</v>
      </c>
      <c r="V123" s="16" t="n">
        <v>2991994</v>
      </c>
      <c r="W123" s="16" t="n">
        <v>1561635</v>
      </c>
      <c r="X123" s="16" t="n">
        <v>1172632</v>
      </c>
      <c r="Y123" s="16" t="n">
        <v>985538</v>
      </c>
      <c r="Z123" s="16" t="n">
        <v>975957</v>
      </c>
      <c r="AA123" s="7"/>
      <c r="AB123" s="7"/>
      <c r="AC123" s="16" t="n">
        <v>17299609</v>
      </c>
      <c r="AD123" s="16" t="n">
        <v>8549025</v>
      </c>
      <c r="AE123" s="16" t="n">
        <v>4263822</v>
      </c>
      <c r="AF123" s="16" t="n">
        <v>2887347</v>
      </c>
      <c r="AG123" s="16" t="n">
        <v>2646940</v>
      </c>
      <c r="AH123" s="16" t="n">
        <v>2509408</v>
      </c>
      <c r="AI123" s="8"/>
    </row>
    <row r="124" customFormat="false" ht="16.4" hidden="false" customHeight="false" outlineLevel="0" collapsed="false">
      <c r="B124" s="30"/>
      <c r="C124" s="14"/>
      <c r="D124" s="15" t="s">
        <v>22</v>
      </c>
      <c r="E124" s="16" t="n">
        <v>255957</v>
      </c>
      <c r="F124" s="16" t="n">
        <v>161533</v>
      </c>
      <c r="G124" s="16" t="n">
        <v>100744</v>
      </c>
      <c r="H124" s="16" t="n">
        <v>78803</v>
      </c>
      <c r="I124" s="16" t="n">
        <v>75550</v>
      </c>
      <c r="J124" s="16" t="n">
        <v>72689</v>
      </c>
      <c r="K124" s="7"/>
      <c r="L124" s="7"/>
      <c r="M124" s="16" t="n">
        <v>1897051</v>
      </c>
      <c r="N124" s="16" t="n">
        <v>861421</v>
      </c>
      <c r="O124" s="16" t="n">
        <v>509538</v>
      </c>
      <c r="P124" s="16" t="n">
        <v>371403</v>
      </c>
      <c r="Q124" s="16" t="n">
        <v>387555</v>
      </c>
      <c r="R124" s="16" t="n">
        <v>333900</v>
      </c>
      <c r="S124" s="7"/>
      <c r="T124" s="7"/>
      <c r="U124" s="16" t="n">
        <v>5690554</v>
      </c>
      <c r="V124" s="16" t="n">
        <v>2946676</v>
      </c>
      <c r="W124" s="16" t="n">
        <v>1748109</v>
      </c>
      <c r="X124" s="16" t="n">
        <v>1164166</v>
      </c>
      <c r="Y124" s="16" t="n">
        <v>946140</v>
      </c>
      <c r="Z124" s="16" t="n">
        <v>984826</v>
      </c>
      <c r="AA124" s="7"/>
      <c r="AB124" s="7"/>
      <c r="AC124" s="16" t="n">
        <v>17741607</v>
      </c>
      <c r="AD124" s="16" t="n">
        <v>8626519</v>
      </c>
      <c r="AE124" s="16" t="n">
        <v>4406041</v>
      </c>
      <c r="AF124" s="16" t="n">
        <v>2710537</v>
      </c>
      <c r="AG124" s="16" t="n">
        <v>2501240</v>
      </c>
      <c r="AH124" s="16" t="n">
        <v>2499055</v>
      </c>
      <c r="AI124" s="8"/>
    </row>
    <row r="125" customFormat="false" ht="16.4" hidden="false" customHeight="false" outlineLevel="0" collapsed="false">
      <c r="B125" s="30"/>
      <c r="C125" s="14"/>
      <c r="D125" s="15" t="s">
        <v>23</v>
      </c>
      <c r="E125" s="16" t="n">
        <v>219695</v>
      </c>
      <c r="F125" s="16" t="n">
        <v>159359</v>
      </c>
      <c r="G125" s="16" t="n">
        <v>108584</v>
      </c>
      <c r="H125" s="16" t="n">
        <v>79916</v>
      </c>
      <c r="I125" s="16" t="n">
        <v>76057</v>
      </c>
      <c r="J125" s="16" t="n">
        <v>71079</v>
      </c>
      <c r="K125" s="7"/>
      <c r="L125" s="7"/>
      <c r="M125" s="16" t="n">
        <v>1896302</v>
      </c>
      <c r="N125" s="16" t="n">
        <v>931958</v>
      </c>
      <c r="O125" s="16" t="n">
        <v>461863</v>
      </c>
      <c r="P125" s="16" t="n">
        <v>419487</v>
      </c>
      <c r="Q125" s="16" t="n">
        <v>380303</v>
      </c>
      <c r="R125" s="16" t="n">
        <v>316564</v>
      </c>
      <c r="S125" s="7"/>
      <c r="T125" s="7"/>
      <c r="U125" s="16" t="n">
        <v>5661777</v>
      </c>
      <c r="V125" s="16" t="n">
        <v>3039018</v>
      </c>
      <c r="W125" s="16" t="n">
        <v>1520339</v>
      </c>
      <c r="X125" s="16" t="n">
        <v>1036649</v>
      </c>
      <c r="Y125" s="16" t="n">
        <v>998800</v>
      </c>
      <c r="Z125" s="16" t="n">
        <v>996374</v>
      </c>
      <c r="AA125" s="7"/>
      <c r="AB125" s="7"/>
      <c r="AC125" s="16" t="n">
        <v>16842952</v>
      </c>
      <c r="AD125" s="16" t="n">
        <v>8847537</v>
      </c>
      <c r="AE125" s="16" t="n">
        <v>4531581</v>
      </c>
      <c r="AF125" s="16" t="n">
        <v>2716572</v>
      </c>
      <c r="AG125" s="16" t="n">
        <v>2417199</v>
      </c>
      <c r="AH125" s="16" t="n">
        <v>2550506</v>
      </c>
      <c r="AI125" s="8"/>
    </row>
    <row r="126" customFormat="false" ht="16.4" hidden="false" customHeight="false" outlineLevel="0" collapsed="false">
      <c r="B126" s="30"/>
      <c r="C126" s="14"/>
      <c r="D126" s="15" t="s">
        <v>24</v>
      </c>
      <c r="E126" s="16" t="n">
        <v>229371</v>
      </c>
      <c r="F126" s="16" t="n">
        <v>194503</v>
      </c>
      <c r="G126" s="16" t="n">
        <v>103891</v>
      </c>
      <c r="H126" s="16" t="n">
        <v>72908</v>
      </c>
      <c r="I126" s="16" t="n">
        <v>75805</v>
      </c>
      <c r="J126" s="16" t="n">
        <v>70293</v>
      </c>
      <c r="K126" s="7"/>
      <c r="L126" s="7"/>
      <c r="M126" s="16" t="n">
        <v>1699426</v>
      </c>
      <c r="N126" s="16" t="n">
        <v>883814</v>
      </c>
      <c r="O126" s="16" t="n">
        <v>509489</v>
      </c>
      <c r="P126" s="16" t="n">
        <v>365637</v>
      </c>
      <c r="Q126" s="16" t="n">
        <v>330342</v>
      </c>
      <c r="R126" s="16" t="n">
        <v>335229</v>
      </c>
      <c r="S126" s="7"/>
      <c r="T126" s="7"/>
      <c r="U126" s="16" t="n">
        <v>5996945</v>
      </c>
      <c r="V126" s="16" t="n">
        <v>2897583</v>
      </c>
      <c r="W126" s="16" t="n">
        <v>1615538</v>
      </c>
      <c r="X126" s="16" t="n">
        <v>1127547</v>
      </c>
      <c r="Y126" s="16" t="n">
        <v>949071</v>
      </c>
      <c r="Z126" s="16" t="n">
        <v>1012610</v>
      </c>
      <c r="AA126" s="7"/>
      <c r="AB126" s="7"/>
      <c r="AC126" s="16" t="n">
        <v>14604289</v>
      </c>
      <c r="AD126" s="16" t="n">
        <v>8927085</v>
      </c>
      <c r="AE126" s="16" t="n">
        <v>4553139</v>
      </c>
      <c r="AF126" s="16" t="n">
        <v>2806695</v>
      </c>
      <c r="AG126" s="16" t="n">
        <v>2446563</v>
      </c>
      <c r="AH126" s="16" t="n">
        <v>2778671</v>
      </c>
      <c r="AI126" s="8"/>
    </row>
    <row r="127" customFormat="false" ht="16.4" hidden="false" customHeight="false" outlineLevel="0" collapsed="false">
      <c r="B127" s="30"/>
      <c r="C127" s="14"/>
      <c r="D127" s="15" t="s">
        <v>25</v>
      </c>
      <c r="E127" s="16" t="n">
        <v>272366</v>
      </c>
      <c r="F127" s="16" t="n">
        <v>195365</v>
      </c>
      <c r="G127" s="16" t="n">
        <v>96034</v>
      </c>
      <c r="H127" s="16" t="n">
        <v>86281</v>
      </c>
      <c r="I127" s="16" t="n">
        <v>75134</v>
      </c>
      <c r="J127" s="16" t="n">
        <v>69792</v>
      </c>
      <c r="K127" s="7"/>
      <c r="L127" s="7"/>
      <c r="M127" s="16" t="n">
        <v>1684899</v>
      </c>
      <c r="N127" s="16" t="n">
        <v>1032523</v>
      </c>
      <c r="O127" s="16" t="n">
        <v>501150</v>
      </c>
      <c r="P127" s="16" t="n">
        <v>347126</v>
      </c>
      <c r="Q127" s="16" t="n">
        <v>319608</v>
      </c>
      <c r="R127" s="16" t="n">
        <v>320573</v>
      </c>
      <c r="S127" s="7"/>
      <c r="T127" s="7"/>
      <c r="U127" s="16" t="n">
        <v>6059087</v>
      </c>
      <c r="V127" s="16" t="n">
        <v>3062948</v>
      </c>
      <c r="W127" s="16" t="n">
        <v>1613609</v>
      </c>
      <c r="X127" s="16" t="n">
        <v>1148781</v>
      </c>
      <c r="Y127" s="16" t="n">
        <v>1037597</v>
      </c>
      <c r="Z127" s="16" t="n">
        <v>986143</v>
      </c>
      <c r="AA127" s="7"/>
      <c r="AB127" s="7"/>
      <c r="AC127" s="16" t="n">
        <v>15490033</v>
      </c>
      <c r="AD127" s="16" t="n">
        <v>9065942</v>
      </c>
      <c r="AE127" s="16" t="n">
        <v>4354493</v>
      </c>
      <c r="AF127" s="16" t="n">
        <v>2872778</v>
      </c>
      <c r="AG127" s="16" t="n">
        <v>2814610</v>
      </c>
      <c r="AH127" s="16" t="n">
        <v>2582097</v>
      </c>
      <c r="AI127" s="8"/>
    </row>
    <row r="128" customFormat="false" ht="16.4" hidden="false" customHeight="false" outlineLevel="0" collapsed="false">
      <c r="B128" s="30"/>
      <c r="C128" s="14"/>
      <c r="D128" s="15" t="s">
        <v>26</v>
      </c>
      <c r="E128" s="16" t="n">
        <v>264099</v>
      </c>
      <c r="F128" s="16" t="n">
        <v>164157</v>
      </c>
      <c r="G128" s="16" t="n">
        <v>101067</v>
      </c>
      <c r="H128" s="16" t="n">
        <v>76129</v>
      </c>
      <c r="I128" s="16" t="n">
        <v>76511</v>
      </c>
      <c r="J128" s="16" t="n">
        <v>64477</v>
      </c>
      <c r="K128" s="7"/>
      <c r="L128" s="7"/>
      <c r="M128" s="16" t="n">
        <v>1227326</v>
      </c>
      <c r="N128" s="16" t="n">
        <v>927377</v>
      </c>
      <c r="O128" s="16" t="n">
        <v>462597</v>
      </c>
      <c r="P128" s="16" t="n">
        <v>362547</v>
      </c>
      <c r="Q128" s="16" t="n">
        <v>323537</v>
      </c>
      <c r="R128" s="16" t="n">
        <v>327788</v>
      </c>
      <c r="S128" s="7"/>
      <c r="T128" s="7"/>
      <c r="U128" s="16" t="n">
        <v>5751359</v>
      </c>
      <c r="V128" s="16" t="n">
        <v>2892738</v>
      </c>
      <c r="W128" s="16" t="n">
        <v>1482741</v>
      </c>
      <c r="X128" s="16" t="n">
        <v>1164231</v>
      </c>
      <c r="Y128" s="16" t="n">
        <v>1117873</v>
      </c>
      <c r="Z128" s="16" t="n">
        <v>969851</v>
      </c>
      <c r="AA128" s="7"/>
      <c r="AB128" s="7"/>
      <c r="AC128" s="16" t="n">
        <v>15378339</v>
      </c>
      <c r="AD128" s="16" t="n">
        <v>8891495</v>
      </c>
      <c r="AE128" s="16" t="n">
        <v>4455950</v>
      </c>
      <c r="AF128" s="16" t="n">
        <v>2851892</v>
      </c>
      <c r="AG128" s="16" t="n">
        <v>2629082</v>
      </c>
      <c r="AH128" s="16" t="n">
        <v>2603399</v>
      </c>
      <c r="AI128" s="8"/>
    </row>
    <row r="129" customFormat="false" ht="16.4" hidden="false" customHeight="false" outlineLevel="0" collapsed="false">
      <c r="B129" s="30"/>
      <c r="C129" s="14"/>
      <c r="D129" s="15" t="s">
        <v>27</v>
      </c>
      <c r="E129" s="16" t="n">
        <v>233954</v>
      </c>
      <c r="F129" s="16" t="n">
        <v>191567</v>
      </c>
      <c r="G129" s="16" t="n">
        <v>114444</v>
      </c>
      <c r="H129" s="16" t="n">
        <v>86289</v>
      </c>
      <c r="I129" s="16" t="n">
        <v>78874</v>
      </c>
      <c r="J129" s="16" t="n">
        <v>65820</v>
      </c>
      <c r="K129" s="7"/>
      <c r="L129" s="7"/>
      <c r="M129" s="16" t="n">
        <v>1861095</v>
      </c>
      <c r="N129" s="16" t="n">
        <v>941650</v>
      </c>
      <c r="O129" s="16" t="n">
        <v>564686</v>
      </c>
      <c r="P129" s="16" t="n">
        <v>380781</v>
      </c>
      <c r="Q129" s="16" t="n">
        <v>315432</v>
      </c>
      <c r="R129" s="16" t="n">
        <v>330524</v>
      </c>
      <c r="S129" s="7"/>
      <c r="T129" s="7"/>
      <c r="U129" s="16" t="n">
        <v>5768644</v>
      </c>
      <c r="V129" s="16" t="n">
        <v>2892371</v>
      </c>
      <c r="W129" s="16" t="n">
        <v>1515588</v>
      </c>
      <c r="X129" s="16" t="n">
        <v>1129966</v>
      </c>
      <c r="Y129" s="16" t="n">
        <v>1000987</v>
      </c>
      <c r="Z129" s="16" t="n">
        <v>973592</v>
      </c>
      <c r="AA129" s="7"/>
      <c r="AB129" s="7"/>
      <c r="AC129" s="16" t="n">
        <v>15294385</v>
      </c>
      <c r="AD129" s="16" t="n">
        <v>9123520</v>
      </c>
      <c r="AE129" s="16" t="n">
        <v>4482839</v>
      </c>
      <c r="AF129" s="16" t="n">
        <v>2989045</v>
      </c>
      <c r="AG129" s="16" t="n">
        <v>2536436</v>
      </c>
      <c r="AH129" s="16" t="n">
        <v>2660224</v>
      </c>
      <c r="AI129" s="8"/>
    </row>
    <row r="130" customFormat="false" ht="16.4" hidden="false" customHeight="false" outlineLevel="0" collapsed="false">
      <c r="B130" s="30"/>
      <c r="C130" s="14"/>
      <c r="D130" s="15" t="s">
        <v>28</v>
      </c>
      <c r="E130" s="16" t="n">
        <v>240547</v>
      </c>
      <c r="F130" s="16" t="n">
        <v>154767</v>
      </c>
      <c r="G130" s="16" t="n">
        <v>102920</v>
      </c>
      <c r="H130" s="16" t="n">
        <v>80912</v>
      </c>
      <c r="I130" s="16" t="n">
        <v>77949</v>
      </c>
      <c r="J130" s="16" t="n">
        <v>68722</v>
      </c>
      <c r="K130" s="7"/>
      <c r="L130" s="7"/>
      <c r="M130" s="16" t="n">
        <v>1949016</v>
      </c>
      <c r="N130" s="16" t="n">
        <v>1068007</v>
      </c>
      <c r="O130" s="16" t="n">
        <v>459108</v>
      </c>
      <c r="P130" s="16" t="n">
        <v>401097</v>
      </c>
      <c r="Q130" s="16" t="n">
        <v>339981</v>
      </c>
      <c r="R130" s="16" t="n">
        <v>314147</v>
      </c>
      <c r="S130" s="7"/>
      <c r="T130" s="7"/>
      <c r="U130" s="16" t="n">
        <v>6189809</v>
      </c>
      <c r="V130" s="16" t="n">
        <v>3047107</v>
      </c>
      <c r="W130" s="16" t="n">
        <v>1617638</v>
      </c>
      <c r="X130" s="16" t="n">
        <v>1167406</v>
      </c>
      <c r="Y130" s="16" t="n">
        <v>1015272</v>
      </c>
      <c r="Z130" s="16" t="n">
        <v>1008246</v>
      </c>
      <c r="AA130" s="7"/>
      <c r="AB130" s="7"/>
      <c r="AC130" s="16" t="n">
        <v>16440299</v>
      </c>
      <c r="AD130" s="16" t="n">
        <v>8166917</v>
      </c>
      <c r="AE130" s="16" t="n">
        <v>4502697</v>
      </c>
      <c r="AF130" s="16" t="n">
        <v>2865700</v>
      </c>
      <c r="AG130" s="16" t="n">
        <v>2581498</v>
      </c>
      <c r="AH130" s="16" t="n">
        <v>2686215</v>
      </c>
      <c r="AI130" s="8"/>
    </row>
    <row r="131" customFormat="false" ht="16.4" hidden="false" customHeight="false" outlineLevel="0" collapsed="false">
      <c r="B131" s="30"/>
      <c r="C131" s="14"/>
      <c r="D131" s="15" t="s">
        <v>29</v>
      </c>
      <c r="E131" s="16" t="n">
        <v>315852</v>
      </c>
      <c r="F131" s="16" t="n">
        <v>150194</v>
      </c>
      <c r="G131" s="16" t="n">
        <v>99991</v>
      </c>
      <c r="H131" s="16" t="n">
        <v>83135</v>
      </c>
      <c r="I131" s="16" t="n">
        <v>76187</v>
      </c>
      <c r="J131" s="16" t="n">
        <v>60833</v>
      </c>
      <c r="K131" s="7"/>
      <c r="L131" s="7"/>
      <c r="M131" s="16" t="n">
        <v>1742734</v>
      </c>
      <c r="N131" s="16" t="n">
        <v>954297</v>
      </c>
      <c r="O131" s="16" t="n">
        <v>465302</v>
      </c>
      <c r="P131" s="16" t="n">
        <v>363848</v>
      </c>
      <c r="Q131" s="16" t="n">
        <v>322067</v>
      </c>
      <c r="R131" s="16" t="n">
        <v>316585</v>
      </c>
      <c r="S131" s="7"/>
      <c r="T131" s="7"/>
      <c r="U131" s="16" t="n">
        <v>5868363</v>
      </c>
      <c r="V131" s="16" t="n">
        <v>3013497</v>
      </c>
      <c r="W131" s="16" t="n">
        <v>1564976</v>
      </c>
      <c r="X131" s="16" t="n">
        <v>1176135</v>
      </c>
      <c r="Y131" s="16" t="n">
        <v>1007983</v>
      </c>
      <c r="Z131" s="16" t="n">
        <v>985742</v>
      </c>
      <c r="AA131" s="7"/>
      <c r="AB131" s="7"/>
      <c r="AC131" s="16" t="n">
        <v>15437519</v>
      </c>
      <c r="AD131" s="16" t="n">
        <v>7730955</v>
      </c>
      <c r="AE131" s="16" t="n">
        <v>4828357</v>
      </c>
      <c r="AF131" s="16" t="n">
        <v>2792269</v>
      </c>
      <c r="AG131" s="16" t="n">
        <v>2557944</v>
      </c>
      <c r="AH131" s="16" t="n">
        <v>2597694</v>
      </c>
      <c r="AI131" s="8"/>
    </row>
    <row r="132" customFormat="false" ht="16.4" hidden="false" customHeight="false" outlineLevel="0" collapsed="false">
      <c r="B132" s="30"/>
      <c r="C132" s="14"/>
      <c r="D132" s="15" t="s">
        <v>30</v>
      </c>
      <c r="E132" s="16" t="n">
        <v>220125</v>
      </c>
      <c r="F132" s="16" t="n">
        <v>195347</v>
      </c>
      <c r="G132" s="16" t="n">
        <v>99619</v>
      </c>
      <c r="H132" s="16" t="n">
        <v>86689</v>
      </c>
      <c r="I132" s="16" t="n">
        <v>63380</v>
      </c>
      <c r="J132" s="16" t="n">
        <v>74741</v>
      </c>
      <c r="K132" s="7"/>
      <c r="L132" s="7"/>
      <c r="M132" s="16" t="n">
        <v>1666682</v>
      </c>
      <c r="N132" s="16" t="n">
        <v>970960</v>
      </c>
      <c r="O132" s="16" t="n">
        <v>520257</v>
      </c>
      <c r="P132" s="16" t="n">
        <v>366671</v>
      </c>
      <c r="Q132" s="16" t="n">
        <v>337781</v>
      </c>
      <c r="R132" s="16" t="n">
        <v>317749</v>
      </c>
      <c r="S132" s="7"/>
      <c r="T132" s="7"/>
      <c r="U132" s="16" t="n">
        <v>6305739</v>
      </c>
      <c r="V132" s="16" t="n">
        <v>3103111</v>
      </c>
      <c r="W132" s="16" t="n">
        <v>1538911</v>
      </c>
      <c r="X132" s="16" t="n">
        <v>1218885</v>
      </c>
      <c r="Y132" s="16" t="n">
        <v>986259</v>
      </c>
      <c r="Z132" s="16" t="n">
        <v>996006</v>
      </c>
      <c r="AA132" s="7"/>
      <c r="AB132" s="7"/>
      <c r="AC132" s="16" t="n">
        <v>16371117</v>
      </c>
      <c r="AD132" s="16" t="n">
        <v>7738213</v>
      </c>
      <c r="AE132" s="16" t="n">
        <v>4756098</v>
      </c>
      <c r="AF132" s="16" t="n">
        <v>2885099</v>
      </c>
      <c r="AG132" s="16" t="n">
        <v>2507814</v>
      </c>
      <c r="AH132" s="16" t="n">
        <v>2539044</v>
      </c>
      <c r="AI132" s="8"/>
    </row>
    <row r="133" customFormat="false" ht="16.4" hidden="false" customHeight="false" outlineLevel="0" collapsed="false">
      <c r="B133" s="30"/>
      <c r="C133" s="14"/>
      <c r="D133" s="15" t="s">
        <v>31</v>
      </c>
      <c r="E133" s="16" t="n">
        <v>257324</v>
      </c>
      <c r="F133" s="16" t="n">
        <v>154994</v>
      </c>
      <c r="G133" s="16" t="n">
        <v>100319</v>
      </c>
      <c r="H133" s="16" t="n">
        <v>74257</v>
      </c>
      <c r="I133" s="16" t="n">
        <v>73350</v>
      </c>
      <c r="J133" s="16" t="n">
        <v>70261</v>
      </c>
      <c r="K133" s="7"/>
      <c r="L133" s="7"/>
      <c r="M133" s="16" t="n">
        <v>1798531</v>
      </c>
      <c r="N133" s="16" t="n">
        <v>957002</v>
      </c>
      <c r="O133" s="16" t="n">
        <v>464820</v>
      </c>
      <c r="P133" s="16" t="n">
        <v>371298</v>
      </c>
      <c r="Q133" s="16" t="n">
        <v>326899</v>
      </c>
      <c r="R133" s="16" t="n">
        <v>332428</v>
      </c>
      <c r="S133" s="7"/>
      <c r="T133" s="7"/>
      <c r="U133" s="16" t="n">
        <v>4571196</v>
      </c>
      <c r="V133" s="16" t="n">
        <v>3283115</v>
      </c>
      <c r="W133" s="16" t="n">
        <v>1716079</v>
      </c>
      <c r="X133" s="16" t="n">
        <v>1188216</v>
      </c>
      <c r="Y133" s="16" t="n">
        <v>984255</v>
      </c>
      <c r="Z133" s="16" t="n">
        <v>942611</v>
      </c>
      <c r="AA133" s="7"/>
      <c r="AB133" s="7"/>
      <c r="AC133" s="16" t="n">
        <v>17190152</v>
      </c>
      <c r="AD133" s="16" t="n">
        <v>8965489</v>
      </c>
      <c r="AE133" s="16" t="n">
        <v>4441400</v>
      </c>
      <c r="AF133" s="16" t="n">
        <v>2842943</v>
      </c>
      <c r="AG133" s="16" t="n">
        <v>2613916</v>
      </c>
      <c r="AH133" s="16" t="n">
        <v>2605353</v>
      </c>
      <c r="AI133" s="8"/>
    </row>
    <row r="134" customFormat="false" ht="16.4" hidden="false" customHeight="false" outlineLevel="0" collapsed="false">
      <c r="B134" s="30"/>
      <c r="C134" s="14"/>
      <c r="D134" s="15" t="s">
        <v>32</v>
      </c>
      <c r="E134" s="16" t="n">
        <v>246003</v>
      </c>
      <c r="F134" s="16" t="n">
        <v>166042</v>
      </c>
      <c r="G134" s="16" t="n">
        <v>99014</v>
      </c>
      <c r="H134" s="16" t="n">
        <v>92495</v>
      </c>
      <c r="I134" s="16" t="n">
        <v>68751</v>
      </c>
      <c r="J134" s="16" t="n">
        <v>69912</v>
      </c>
      <c r="K134" s="7"/>
      <c r="L134" s="7"/>
      <c r="M134" s="16" t="n">
        <v>1632291</v>
      </c>
      <c r="N134" s="16" t="n">
        <v>1030561</v>
      </c>
      <c r="O134" s="16" t="n">
        <v>552731</v>
      </c>
      <c r="P134" s="16" t="n">
        <v>360303</v>
      </c>
      <c r="Q134" s="16" t="n">
        <v>329790</v>
      </c>
      <c r="R134" s="16" t="n">
        <v>316767</v>
      </c>
      <c r="S134" s="7"/>
      <c r="T134" s="7"/>
      <c r="U134" s="16" t="n">
        <v>5767735</v>
      </c>
      <c r="V134" s="16" t="n">
        <v>3302519</v>
      </c>
      <c r="W134" s="16" t="n">
        <v>1426665</v>
      </c>
      <c r="X134" s="16" t="n">
        <v>1130342</v>
      </c>
      <c r="Y134" s="16" t="n">
        <v>1016766</v>
      </c>
      <c r="Z134" s="16" t="n">
        <v>1032712</v>
      </c>
      <c r="AA134" s="7"/>
      <c r="AB134" s="7"/>
      <c r="AC134" s="16" t="n">
        <v>15983993</v>
      </c>
      <c r="AD134" s="16" t="n">
        <v>7659771</v>
      </c>
      <c r="AE134" s="16" t="n">
        <v>4449739</v>
      </c>
      <c r="AF134" s="16" t="n">
        <v>2993954</v>
      </c>
      <c r="AG134" s="16" t="n">
        <v>2741858</v>
      </c>
      <c r="AH134" s="16" t="n">
        <v>2688439</v>
      </c>
      <c r="AI134" s="8"/>
    </row>
    <row r="135" customFormat="false" ht="16.4" hidden="false" customHeight="false" outlineLevel="0" collapsed="false">
      <c r="B135" s="30"/>
      <c r="C135" s="14"/>
      <c r="D135" s="15" t="s">
        <v>33</v>
      </c>
      <c r="E135" s="16" t="n">
        <v>252990</v>
      </c>
      <c r="F135" s="16" t="n">
        <v>158049</v>
      </c>
      <c r="G135" s="16" t="n">
        <v>100527</v>
      </c>
      <c r="H135" s="16" t="n">
        <v>81347</v>
      </c>
      <c r="I135" s="16" t="n">
        <v>78781</v>
      </c>
      <c r="J135" s="16" t="n">
        <v>70886</v>
      </c>
      <c r="K135" s="7"/>
      <c r="L135" s="7"/>
      <c r="M135" s="16" t="n">
        <v>1673045</v>
      </c>
      <c r="N135" s="16" t="n">
        <v>1034333</v>
      </c>
      <c r="O135" s="16" t="n">
        <v>513029</v>
      </c>
      <c r="P135" s="16" t="n">
        <v>393202</v>
      </c>
      <c r="Q135" s="16" t="n">
        <v>338576</v>
      </c>
      <c r="R135" s="16" t="n">
        <v>317570</v>
      </c>
      <c r="S135" s="7"/>
      <c r="T135" s="7"/>
      <c r="U135" s="16" t="n">
        <v>5894988</v>
      </c>
      <c r="V135" s="16" t="n">
        <v>3360216</v>
      </c>
      <c r="W135" s="16" t="n">
        <v>1484825</v>
      </c>
      <c r="X135" s="16" t="n">
        <v>1190890</v>
      </c>
      <c r="Y135" s="16" t="n">
        <v>991811</v>
      </c>
      <c r="Z135" s="16" t="n">
        <v>958240</v>
      </c>
      <c r="AA135" s="7"/>
      <c r="AB135" s="7"/>
      <c r="AC135" s="16" t="n">
        <v>15295155</v>
      </c>
      <c r="AD135" s="16" t="n">
        <v>8811112</v>
      </c>
      <c r="AE135" s="16" t="n">
        <v>4452459</v>
      </c>
      <c r="AF135" s="16" t="n">
        <v>2884975</v>
      </c>
      <c r="AG135" s="16" t="n">
        <v>2674652</v>
      </c>
      <c r="AH135" s="16" t="n">
        <v>2636010</v>
      </c>
      <c r="AI135" s="8"/>
    </row>
    <row r="136" customFormat="false" ht="16.4" hidden="false" customHeight="false" outlineLevel="0" collapsed="false">
      <c r="B136" s="30"/>
      <c r="C136" s="14"/>
      <c r="D136" s="15" t="s">
        <v>34</v>
      </c>
      <c r="E136" s="16" t="n">
        <v>283921</v>
      </c>
      <c r="F136" s="16" t="n">
        <v>158408</v>
      </c>
      <c r="G136" s="16" t="n">
        <v>100876</v>
      </c>
      <c r="H136" s="16" t="n">
        <v>71356</v>
      </c>
      <c r="I136" s="16" t="n">
        <v>76291</v>
      </c>
      <c r="J136" s="16" t="n">
        <v>67995</v>
      </c>
      <c r="K136" s="7"/>
      <c r="L136" s="7"/>
      <c r="M136" s="16" t="n">
        <v>1659189</v>
      </c>
      <c r="N136" s="16" t="n">
        <v>939409</v>
      </c>
      <c r="O136" s="16" t="n">
        <v>466975</v>
      </c>
      <c r="P136" s="16" t="n">
        <v>365409</v>
      </c>
      <c r="Q136" s="16" t="n">
        <v>333116</v>
      </c>
      <c r="R136" s="16" t="n">
        <v>321813</v>
      </c>
      <c r="S136" s="7"/>
      <c r="T136" s="7"/>
      <c r="U136" s="16" t="n">
        <v>5800440</v>
      </c>
      <c r="V136" s="16" t="n">
        <v>3152554</v>
      </c>
      <c r="W136" s="16" t="n">
        <v>1528097</v>
      </c>
      <c r="X136" s="16" t="n">
        <v>1189693</v>
      </c>
      <c r="Y136" s="16" t="n">
        <v>979346</v>
      </c>
      <c r="Z136" s="16" t="n">
        <v>984491</v>
      </c>
      <c r="AA136" s="7"/>
      <c r="AB136" s="7"/>
      <c r="AC136" s="16" t="n">
        <v>15865387</v>
      </c>
      <c r="AD136" s="16" t="n">
        <v>7519549</v>
      </c>
      <c r="AE136" s="16" t="n">
        <v>4569247</v>
      </c>
      <c r="AF136" s="16" t="n">
        <v>2947084</v>
      </c>
      <c r="AG136" s="16" t="n">
        <v>2668971</v>
      </c>
      <c r="AH136" s="16" t="n">
        <v>2579767</v>
      </c>
      <c r="AI136" s="8"/>
    </row>
    <row r="137" customFormat="false" ht="16.4" hidden="false" customHeight="false" outlineLevel="0" collapsed="false">
      <c r="B137" s="30"/>
      <c r="C137" s="14"/>
      <c r="D137" s="15" t="s">
        <v>35</v>
      </c>
      <c r="E137" s="16" t="n">
        <v>260254</v>
      </c>
      <c r="F137" s="16" t="n">
        <v>167231</v>
      </c>
      <c r="G137" s="16" t="n">
        <v>100923</v>
      </c>
      <c r="H137" s="16" t="n">
        <v>80344</v>
      </c>
      <c r="I137" s="16" t="n">
        <v>72165</v>
      </c>
      <c r="J137" s="16" t="n">
        <v>60551</v>
      </c>
      <c r="K137" s="7"/>
      <c r="L137" s="7"/>
      <c r="M137" s="16" t="n">
        <v>1778930</v>
      </c>
      <c r="N137" s="16" t="n">
        <v>986303</v>
      </c>
      <c r="O137" s="16" t="n">
        <v>506626</v>
      </c>
      <c r="P137" s="16" t="n">
        <v>387522</v>
      </c>
      <c r="Q137" s="16" t="n">
        <v>335655</v>
      </c>
      <c r="R137" s="16" t="n">
        <v>327627</v>
      </c>
      <c r="S137" s="7"/>
      <c r="T137" s="7"/>
      <c r="U137" s="16" t="n">
        <v>5953589</v>
      </c>
      <c r="V137" s="16" t="n">
        <v>3176541</v>
      </c>
      <c r="W137" s="16" t="n">
        <v>1619505</v>
      </c>
      <c r="X137" s="16" t="n">
        <v>1138280</v>
      </c>
      <c r="Y137" s="16" t="n">
        <v>990539</v>
      </c>
      <c r="Z137" s="16" t="n">
        <v>1022840</v>
      </c>
      <c r="AA137" s="7"/>
      <c r="AB137" s="7"/>
      <c r="AC137" s="16" t="n">
        <v>16483215</v>
      </c>
      <c r="AD137" s="16" t="n">
        <v>7937398</v>
      </c>
      <c r="AE137" s="16" t="n">
        <v>4228601</v>
      </c>
      <c r="AF137" s="16" t="n">
        <v>3037759</v>
      </c>
      <c r="AG137" s="16" t="n">
        <v>2657457</v>
      </c>
      <c r="AH137" s="16" t="n">
        <v>2553986</v>
      </c>
      <c r="AI137" s="8"/>
    </row>
    <row r="138" customFormat="false" ht="16.4" hidden="false" customHeight="false" outlineLevel="0" collapsed="false">
      <c r="B138" s="30"/>
      <c r="C138" s="14"/>
      <c r="D138" s="15" t="s">
        <v>36</v>
      </c>
      <c r="E138" s="16" t="n">
        <v>248722</v>
      </c>
      <c r="F138" s="16" t="n">
        <v>150053</v>
      </c>
      <c r="G138" s="16" t="n">
        <v>105662</v>
      </c>
      <c r="H138" s="16" t="n">
        <v>65801</v>
      </c>
      <c r="I138" s="16" t="n">
        <v>74756</v>
      </c>
      <c r="J138" s="16" t="n">
        <v>67339</v>
      </c>
      <c r="K138" s="7"/>
      <c r="L138" s="7"/>
      <c r="M138" s="16" t="n">
        <v>1740841</v>
      </c>
      <c r="N138" s="16" t="n">
        <v>970035</v>
      </c>
      <c r="O138" s="16" t="n">
        <v>587280</v>
      </c>
      <c r="P138" s="16" t="n">
        <v>362835</v>
      </c>
      <c r="Q138" s="16" t="n">
        <v>356102</v>
      </c>
      <c r="R138" s="16" t="n">
        <v>324756</v>
      </c>
      <c r="S138" s="7"/>
      <c r="T138" s="7"/>
      <c r="U138" s="16" t="n">
        <v>5643211</v>
      </c>
      <c r="V138" s="16" t="n">
        <v>3094268</v>
      </c>
      <c r="W138" s="16" t="n">
        <v>1712533</v>
      </c>
      <c r="X138" s="16" t="n">
        <v>1157195</v>
      </c>
      <c r="Y138" s="16" t="n">
        <v>1016205</v>
      </c>
      <c r="Z138" s="16" t="n">
        <v>1075357</v>
      </c>
      <c r="AA138" s="7"/>
      <c r="AB138" s="7"/>
      <c r="AC138" s="16" t="n">
        <v>15688162</v>
      </c>
      <c r="AD138" s="16" t="n">
        <v>8566733</v>
      </c>
      <c r="AE138" s="16" t="n">
        <v>4055090</v>
      </c>
      <c r="AF138" s="16" t="n">
        <v>3088051</v>
      </c>
      <c r="AG138" s="16" t="n">
        <v>2608205</v>
      </c>
      <c r="AH138" s="16" t="n">
        <v>2606572</v>
      </c>
      <c r="AI138" s="8"/>
    </row>
    <row r="139" customFormat="false" ht="16.4" hidden="false" customHeight="false" outlineLevel="0" collapsed="false">
      <c r="B139" s="30"/>
      <c r="C139" s="14"/>
      <c r="D139" s="15" t="s">
        <v>37</v>
      </c>
      <c r="E139" s="16" t="n">
        <v>242255</v>
      </c>
      <c r="F139" s="16" t="n">
        <v>189088</v>
      </c>
      <c r="G139" s="16" t="n">
        <v>99225</v>
      </c>
      <c r="H139" s="16" t="n">
        <v>74897</v>
      </c>
      <c r="I139" s="16" t="n">
        <v>74345</v>
      </c>
      <c r="J139" s="16" t="n">
        <v>59127</v>
      </c>
      <c r="K139" s="7"/>
      <c r="L139" s="7"/>
      <c r="M139" s="16" t="n">
        <v>1663005</v>
      </c>
      <c r="N139" s="16" t="n">
        <v>1017084</v>
      </c>
      <c r="O139" s="16" t="n">
        <v>514272</v>
      </c>
      <c r="P139" s="16" t="n">
        <v>337829</v>
      </c>
      <c r="Q139" s="16" t="n">
        <v>330050</v>
      </c>
      <c r="R139" s="16" t="n">
        <v>322676</v>
      </c>
      <c r="S139" s="7"/>
      <c r="T139" s="7"/>
      <c r="U139" s="16" t="n">
        <v>5799693</v>
      </c>
      <c r="V139" s="16" t="n">
        <v>2977797</v>
      </c>
      <c r="W139" s="16" t="n">
        <v>1721668</v>
      </c>
      <c r="X139" s="16" t="n">
        <v>1137027</v>
      </c>
      <c r="Y139" s="16" t="n">
        <v>969125</v>
      </c>
      <c r="Z139" s="16" t="n">
        <v>993150</v>
      </c>
      <c r="AA139" s="7"/>
      <c r="AB139" s="7"/>
      <c r="AC139" s="16" t="n">
        <v>16116862</v>
      </c>
      <c r="AD139" s="16" t="n">
        <v>8902982</v>
      </c>
      <c r="AE139" s="16" t="n">
        <v>4402115</v>
      </c>
      <c r="AF139" s="16" t="n">
        <v>3166427</v>
      </c>
      <c r="AG139" s="16" t="n">
        <v>2587955</v>
      </c>
      <c r="AH139" s="16" t="n">
        <v>2597906</v>
      </c>
      <c r="AI139" s="8"/>
    </row>
    <row r="140" customFormat="false" ht="16.4" hidden="false" customHeight="false" outlineLevel="0" collapsed="false">
      <c r="B140" s="30"/>
      <c r="C140" s="14"/>
      <c r="D140" s="15" t="s">
        <v>38</v>
      </c>
      <c r="E140" s="16" t="n">
        <v>266700</v>
      </c>
      <c r="F140" s="16" t="n">
        <v>160386</v>
      </c>
      <c r="G140" s="16" t="n">
        <v>100927</v>
      </c>
      <c r="H140" s="16" t="n">
        <v>82472</v>
      </c>
      <c r="I140" s="16" t="n">
        <v>75365</v>
      </c>
      <c r="J140" s="16" t="n">
        <v>64101</v>
      </c>
      <c r="K140" s="7"/>
      <c r="L140" s="7"/>
      <c r="M140" s="16" t="n">
        <v>1860909</v>
      </c>
      <c r="N140" s="16" t="n">
        <v>1041422</v>
      </c>
      <c r="O140" s="16" t="n">
        <v>455422</v>
      </c>
      <c r="P140" s="16" t="n">
        <v>365431</v>
      </c>
      <c r="Q140" s="16" t="n">
        <v>343271</v>
      </c>
      <c r="R140" s="16" t="n">
        <v>324937</v>
      </c>
      <c r="S140" s="7"/>
      <c r="T140" s="7"/>
      <c r="U140" s="16" t="n">
        <v>5976834</v>
      </c>
      <c r="V140" s="16" t="n">
        <v>2959951</v>
      </c>
      <c r="W140" s="16" t="n">
        <v>1871754</v>
      </c>
      <c r="X140" s="16" t="n">
        <v>1167945</v>
      </c>
      <c r="Y140" s="16" t="n">
        <v>1024202</v>
      </c>
      <c r="Z140" s="16" t="n">
        <v>999709</v>
      </c>
      <c r="AA140" s="7"/>
      <c r="AB140" s="7"/>
      <c r="AC140" s="16" t="n">
        <v>17091835</v>
      </c>
      <c r="AD140" s="16" t="n">
        <v>9014127</v>
      </c>
      <c r="AE140" s="16" t="n">
        <v>4415077</v>
      </c>
      <c r="AF140" s="16" t="n">
        <v>3337184</v>
      </c>
      <c r="AG140" s="16" t="n">
        <v>2625460</v>
      </c>
      <c r="AH140" s="16" t="n">
        <v>2633611</v>
      </c>
      <c r="AI140" s="8"/>
    </row>
    <row r="141" customFormat="false" ht="16.4" hidden="false" customHeight="false" outlineLevel="0" collapsed="false">
      <c r="B141" s="30"/>
      <c r="C141" s="14"/>
      <c r="D141" s="15" t="s">
        <v>39</v>
      </c>
      <c r="E141" s="16" t="n">
        <v>224246</v>
      </c>
      <c r="F141" s="16" t="n">
        <v>162722</v>
      </c>
      <c r="G141" s="16" t="n">
        <v>104560</v>
      </c>
      <c r="H141" s="16" t="n">
        <v>81289</v>
      </c>
      <c r="I141" s="16" t="n">
        <v>64265</v>
      </c>
      <c r="J141" s="16" t="n">
        <v>59650</v>
      </c>
      <c r="K141" s="7"/>
      <c r="L141" s="7"/>
      <c r="M141" s="16" t="n">
        <v>1833506</v>
      </c>
      <c r="N141" s="16" t="n">
        <v>868995</v>
      </c>
      <c r="O141" s="16" t="n">
        <v>506910</v>
      </c>
      <c r="P141" s="16" t="n">
        <v>363190</v>
      </c>
      <c r="Q141" s="16" t="n">
        <v>347495</v>
      </c>
      <c r="R141" s="16" t="n">
        <v>315884</v>
      </c>
      <c r="S141" s="7"/>
      <c r="T141" s="7"/>
      <c r="U141" s="16" t="n">
        <v>6447388</v>
      </c>
      <c r="V141" s="16" t="n">
        <v>2942761</v>
      </c>
      <c r="W141" s="16" t="n">
        <v>1672157</v>
      </c>
      <c r="X141" s="16" t="n">
        <v>1229361</v>
      </c>
      <c r="Y141" s="16" t="n">
        <v>981777</v>
      </c>
      <c r="Z141" s="16" t="n">
        <v>989634</v>
      </c>
      <c r="AA141" s="7"/>
      <c r="AB141" s="7"/>
      <c r="AC141" s="16" t="n">
        <v>17754273</v>
      </c>
      <c r="AD141" s="16" t="n">
        <v>8960803</v>
      </c>
      <c r="AE141" s="16" t="n">
        <v>4591602</v>
      </c>
      <c r="AF141" s="16" t="n">
        <v>3107032</v>
      </c>
      <c r="AG141" s="16" t="n">
        <v>2678318</v>
      </c>
      <c r="AH141" s="16" t="n">
        <v>2533788</v>
      </c>
      <c r="AI141" s="8"/>
    </row>
    <row r="142" customFormat="false" ht="16.4" hidden="false" customHeight="false" outlineLevel="0" collapsed="false">
      <c r="B142" s="30"/>
      <c r="C142" s="14"/>
      <c r="D142" s="15" t="s">
        <v>40</v>
      </c>
      <c r="E142" s="16" t="n">
        <v>262204</v>
      </c>
      <c r="F142" s="16" t="n">
        <v>159881</v>
      </c>
      <c r="G142" s="16" t="n">
        <v>100149</v>
      </c>
      <c r="H142" s="16" t="n">
        <v>68408</v>
      </c>
      <c r="I142" s="16" t="n">
        <v>73732</v>
      </c>
      <c r="J142" s="16" t="n">
        <v>69190</v>
      </c>
      <c r="K142" s="7"/>
      <c r="L142" s="7"/>
      <c r="M142" s="16" t="n">
        <v>1695905</v>
      </c>
      <c r="N142" s="16" t="n">
        <v>971055</v>
      </c>
      <c r="O142" s="16" t="n">
        <v>456988</v>
      </c>
      <c r="P142" s="16" t="n">
        <v>363294</v>
      </c>
      <c r="Q142" s="16" t="n">
        <v>326209</v>
      </c>
      <c r="R142" s="16" t="n">
        <v>380701</v>
      </c>
      <c r="S142" s="7"/>
      <c r="T142" s="7"/>
      <c r="U142" s="16" t="n">
        <v>5994424</v>
      </c>
      <c r="V142" s="16" t="n">
        <v>3061454</v>
      </c>
      <c r="W142" s="16" t="n">
        <v>1592497</v>
      </c>
      <c r="X142" s="16" t="n">
        <v>1230908</v>
      </c>
      <c r="Y142" s="16" t="n">
        <v>995823</v>
      </c>
      <c r="Z142" s="16" t="n">
        <v>995546</v>
      </c>
      <c r="AA142" s="7"/>
      <c r="AB142" s="7"/>
      <c r="AC142" s="16" t="n">
        <v>15665333</v>
      </c>
      <c r="AD142" s="16" t="n">
        <v>7863716</v>
      </c>
      <c r="AE142" s="16" t="n">
        <v>4470723</v>
      </c>
      <c r="AF142" s="16" t="n">
        <v>3295974</v>
      </c>
      <c r="AG142" s="16" t="n">
        <v>2626847</v>
      </c>
      <c r="AH142" s="16" t="n">
        <v>2542094</v>
      </c>
      <c r="AI142" s="8"/>
    </row>
    <row r="143" customFormat="false" ht="16.5" hidden="false" customHeight="true" outlineLevel="0" collapsed="false">
      <c r="B143" s="30"/>
      <c r="C143" s="18"/>
      <c r="D143" s="19" t="s">
        <v>41</v>
      </c>
      <c r="E143" s="20" t="n">
        <f aca="false" t="array" ref="E143:E143">ROUND(AVERAGE(IF((ISNUMBER(E113:E142))*(E113:E142&lt;LARGE(E113:E142,2))*(E113:E142&gt;SMALL(E113:E142,2)),E113:E142)),0)</f>
        <v>255781</v>
      </c>
      <c r="F143" s="20" t="n">
        <f aca="false" t="array" ref="F143:F143">ROUND(AVERAGE(IF((ISNUMBER(F113:F142))*(F113:F142&lt;LARGE(F113:F142,2))*(F113:F142&gt;SMALL(F113:F142,2)),F113:F142)),0)</f>
        <v>164252</v>
      </c>
      <c r="G143" s="20" t="n">
        <f aca="false" t="array" ref="G143:G143">ROUND(AVERAGE(IF((ISNUMBER(G113:G142))*(G113:G142&lt;LARGE(G113:G142,2))*(G113:G142&gt;SMALL(G113:G142,2)),G113:G142)),0)</f>
        <v>101427</v>
      </c>
      <c r="H143" s="20" t="n">
        <f aca="false" t="array" ref="H143:H143">ROUND(AVERAGE(IF((ISNUMBER(H113:H142))*(H113:H142&lt;LARGE(H113:H142,2))*(H113:H142&gt;SMALL(H113:H142,2)),H113:H142)),0)</f>
        <v>79762</v>
      </c>
      <c r="I143" s="20" t="n">
        <f aca="false" t="array" ref="I143:I143">ROUND(AVERAGE(IF((ISNUMBER(I113:I142))*(I113:I142&lt;LARGE(I113:I142,2))*(I113:I142&gt;SMALL(I113:I142,2)),I113:I142)),0)</f>
        <v>73429</v>
      </c>
      <c r="J143" s="20" t="n">
        <f aca="false" t="array" ref="J143:J143">ROUND(AVERAGE(IF((ISNUMBER(J113:J142))*(J113:J142&lt;LARGE(J113:J142,2))*(J113:J142&gt;SMALL(J113:J142,2)),J113:J142)),0)</f>
        <v>67541</v>
      </c>
      <c r="K143" s="20"/>
      <c r="L143" s="20"/>
      <c r="M143" s="20" t="n">
        <f aca="false" t="array" ref="M143:M143">ROUND(AVERAGE(IF((ISNUMBER(M113:M142))*(M113:M142&lt;LARGE(M113:M142,2))*(M113:M142&gt;SMALL(M113:M142,2)),M113:M142)),0)</f>
        <v>1750528</v>
      </c>
      <c r="N143" s="20" t="n">
        <f aca="false" t="array" ref="N143:N143">ROUND(AVERAGE(IF((ISNUMBER(N113:N142))*(N113:N142&lt;LARGE(N113:N142,2))*(N113:N142&gt;SMALL(N113:N142,2)),N113:N142)),0)</f>
        <v>960808</v>
      </c>
      <c r="O143" s="20" t="n">
        <f aca="false" t="array" ref="O143:O143">ROUND(AVERAGE(IF((ISNUMBER(O113:O142))*(O113:O142&lt;LARGE(O113:O142,2))*(O113:O142&gt;SMALL(O113:O142,2)),O113:O142)),0)</f>
        <v>504520</v>
      </c>
      <c r="P143" s="20" t="n">
        <f aca="false" t="array" ref="P143:P143">ROUND(AVERAGE(IF((ISNUMBER(P113:P142))*(P113:P142&lt;LARGE(P113:P142,2))*(P113:P142&gt;SMALL(P113:P142,2)),P113:P142)),0)</f>
        <v>371999</v>
      </c>
      <c r="Q143" s="20" t="n">
        <f aca="false" t="array" ref="Q143:Q143">ROUND(AVERAGE(IF((ISNUMBER(Q113:Q142))*(Q113:Q142&lt;LARGE(Q113:Q142,2))*(Q113:Q142&gt;SMALL(Q113:Q142,2)),Q113:Q142)),0)</f>
        <v>340942</v>
      </c>
      <c r="R143" s="20" t="n">
        <f aca="false" t="array" ref="R143:R143">ROUND(AVERAGE(IF((ISNUMBER(R113:R142))*(R113:R142&lt;LARGE(R113:R142,2))*(R113:R142&gt;SMALL(R113:R142,2)),R113:R142)),0)</f>
        <v>326507</v>
      </c>
      <c r="S143" s="20"/>
      <c r="T143" s="20"/>
      <c r="U143" s="20" t="n">
        <f aca="false" t="array" ref="U143:U143">ROUND(AVERAGE(IF((ISNUMBER(U113:U142))*(U113:U142&lt;LARGE(U113:U142,2))*(U113:U142&gt;SMALL(U113:U142,2)),U113:U142)),0)</f>
        <v>5804843</v>
      </c>
      <c r="V143" s="20" t="n">
        <f aca="false" t="array" ref="V143:V143">ROUND(AVERAGE(IF((ISNUMBER(V113:V142))*(V113:V142&lt;LARGE(V113:V142,2))*(V113:V142&gt;SMALL(V113:V142,2)),V113:V142)),0)</f>
        <v>3075651</v>
      </c>
      <c r="W143" s="20" t="n">
        <f aca="false" t="array" ref="W143:W143">ROUND(AVERAGE(IF((ISNUMBER(W113:W142))*(W113:W142&lt;LARGE(W113:W142,2))*(W113:W142&gt;SMALL(W113:W142,2)),W113:W142)),0)</f>
        <v>1613962</v>
      </c>
      <c r="X143" s="20" t="n">
        <f aca="false" t="array" ref="X143:X143">ROUND(AVERAGE(IF((ISNUMBER(X113:X142))*(X113:X142&lt;LARGE(X113:X142,2))*(X113:X142&gt;SMALL(X113:X142,2)),X113:X142)),0)</f>
        <v>1165102</v>
      </c>
      <c r="Y143" s="20" t="n">
        <f aca="false" t="array" ref="Y143:Y143">ROUND(AVERAGE(IF((ISNUMBER(Y113:Y142))*(Y113:Y142&lt;LARGE(Y113:Y142,2))*(Y113:Y142&gt;SMALL(Y113:Y142,2)),Y113:Y142)),0)</f>
        <v>1004512</v>
      </c>
      <c r="Z143" s="20" t="n">
        <f aca="false" t="array" ref="Z143:Z143">ROUND(AVERAGE(IF((ISNUMBER(Z113:Z142))*(Z113:Z142&lt;LARGE(Z113:Z142,2))*(Z113:Z142&gt;SMALL(Z113:Z142,2)),Z113:Z142)),0)</f>
        <v>993634</v>
      </c>
      <c r="AA143" s="20"/>
      <c r="AB143" s="20"/>
      <c r="AC143" s="20" t="n">
        <f aca="false" t="array" ref="AC143:AC143">ROUND(AVERAGE(IF((ISNUMBER(AC113:AC142))*(AC113:AC142&lt;LARGE(AC113:AC142,2))*(AC113:AC142&gt;SMALL(AC113:AC142,2)),AC113:AC142)),0)</f>
        <v>15997473</v>
      </c>
      <c r="AD143" s="20" t="n">
        <f aca="false" t="array" ref="AD143:AD143">ROUND(AVERAGE(IF((ISNUMBER(AD113:AD142))*(AD113:AD142&lt;LARGE(AD113:AD142,2))*(AD113:AD142&gt;SMALL(AD113:AD142,2)),AD113:AD142)),0)</f>
        <v>8460006</v>
      </c>
      <c r="AE143" s="20" t="n">
        <f aca="false" t="array" ref="AE143:AE143">ROUND(AVERAGE(IF((ISNUMBER(AE113:AE142))*(AE113:AE142&lt;LARGE(AE113:AE142,2))*(AE113:AE142&gt;SMALL(AE113:AE142,2)),AE113:AE142)),0)</f>
        <v>4339136</v>
      </c>
      <c r="AF143" s="20" t="n">
        <f aca="false" t="array" ref="AF143:AF143">ROUND(AVERAGE(IF((ISNUMBER(AF113:AF142))*(AF113:AF142&lt;LARGE(AF113:AF142,2))*(AF113:AF142&gt;SMALL(AF113:AF142,2)),AF113:AF142)),0)</f>
        <v>2910380</v>
      </c>
      <c r="AG143" s="20" t="n">
        <f aca="false" t="array" ref="AG143:AG143">ROUND(AVERAGE(IF((ISNUMBER(AG113:AG142))*(AG113:AG142&lt;LARGE(AG113:AG142,2))*(AG113:AG142&gt;SMALL(AG113:AG142,2)),AG113:AG142)),0)</f>
        <v>2593285</v>
      </c>
      <c r="AH143" s="21" t="n">
        <f aca="false" t="array" ref="AH143:AH143">ROUND(AVERAGE(IF((ISNUMBER(AH113:AH142))*(AH113:AH142&lt;LARGE(AH113:AH142,2))*(AH113:AH142&gt;SMALL(AH113:AH142,2)),AH113:AH142)),0)</f>
        <v>2585404</v>
      </c>
      <c r="AI143" s="8"/>
    </row>
    <row r="144" customFormat="false" ht="16.5" hidden="false" customHeight="true" outlineLevel="0" collapsed="false">
      <c r="B144" s="31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5"/>
    </row>
    <row r="145" customFormat="false" ht="14.25" hidden="false" customHeight="false" outlineLevel="0" collapsed="false">
      <c r="D145" s="32"/>
    </row>
    <row r="146" customFormat="false" ht="14.25" hidden="false" customHeight="false" outlineLevel="0" collapsed="false">
      <c r="D146" s="32"/>
    </row>
  </sheetData>
  <mergeCells count="12">
    <mergeCell ref="K4:L4"/>
    <mergeCell ref="S4:T4"/>
    <mergeCell ref="AA4:AB4"/>
    <mergeCell ref="K40:L40"/>
    <mergeCell ref="S40:T40"/>
    <mergeCell ref="AA40:AB40"/>
    <mergeCell ref="K76:L76"/>
    <mergeCell ref="S76:T76"/>
    <mergeCell ref="AA76:AB76"/>
    <mergeCell ref="K112:L112"/>
    <mergeCell ref="S112:T112"/>
    <mergeCell ref="AA112:AB1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AK274"/>
  <sheetViews>
    <sheetView showFormulas="false" showGridLines="true" showRowColHeaders="true" showZeros="true" rightToLeft="false" tabSelected="false" showOutlineSymbols="true" defaultGridColor="true" view="normal" topLeftCell="C1" colorId="64" zoomScale="36" zoomScaleNormal="36" zoomScalePageLayoutView="100" workbookViewId="0">
      <selection pane="topLeft" activeCell="AN251" activeCellId="0" sqref="AN251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27.22"/>
    <col collapsed="false" customWidth="true" hidden="false" outlineLevel="0" max="4" min="4" style="0" width="10.89"/>
    <col collapsed="false" customWidth="true" hidden="false" outlineLevel="0" max="11" min="11" style="0" width="10.89"/>
  </cols>
  <sheetData>
    <row r="6" customFormat="false" ht="14.25" hidden="false" customHeight="false" outlineLevel="0" collapsed="false">
      <c r="B6" s="33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5"/>
    </row>
    <row r="7" customFormat="false" ht="33.85" hidden="false" customHeight="false" outlineLevel="0" collapsed="false">
      <c r="B7" s="36"/>
      <c r="C7" s="37" t="s">
        <v>47</v>
      </c>
      <c r="D7" s="3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38"/>
    </row>
    <row r="8" customFormat="false" ht="14.25" hidden="false" customHeight="false" outlineLevel="0" collapsed="false">
      <c r="B8" s="36"/>
      <c r="C8" s="15" t="s">
        <v>48</v>
      </c>
      <c r="D8" s="15" t="s">
        <v>2</v>
      </c>
      <c r="E8" s="15" t="s">
        <v>3</v>
      </c>
      <c r="F8" s="15" t="s">
        <v>4</v>
      </c>
      <c r="G8" s="15" t="s">
        <v>5</v>
      </c>
      <c r="H8" s="15" t="s">
        <v>6</v>
      </c>
      <c r="I8" s="15" t="s">
        <v>7</v>
      </c>
      <c r="J8" s="7"/>
      <c r="K8" s="39" t="s">
        <v>48</v>
      </c>
      <c r="L8" s="39"/>
      <c r="M8" s="15" t="s">
        <v>2</v>
      </c>
      <c r="N8" s="15" t="s">
        <v>3</v>
      </c>
      <c r="O8" s="15" t="s">
        <v>4</v>
      </c>
      <c r="P8" s="15" t="s">
        <v>5</v>
      </c>
      <c r="Q8" s="15" t="s">
        <v>6</v>
      </c>
      <c r="R8" s="15" t="s">
        <v>7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38"/>
    </row>
    <row r="9" customFormat="false" ht="14.25" hidden="false" customHeight="false" outlineLevel="0" collapsed="false">
      <c r="B9" s="36"/>
      <c r="C9" s="7" t="s">
        <v>49</v>
      </c>
      <c r="D9" s="7" t="n">
        <v>1</v>
      </c>
      <c r="E9" s="7" t="n">
        <f aca="false">$D10/E10</f>
        <v>1.87356815578465</v>
      </c>
      <c r="F9" s="7" t="n">
        <f aca="false">$D10/F10</f>
        <v>3.23445803979731</v>
      </c>
      <c r="G9" s="7" t="n">
        <f aca="false">$D10/G10</f>
        <v>5.05920448504181</v>
      </c>
      <c r="H9" s="7" t="n">
        <f aca="false">$D10/H10</f>
        <v>5.07662463627546</v>
      </c>
      <c r="I9" s="7" t="n">
        <f aca="false">$D10/I10</f>
        <v>4.4010931259197</v>
      </c>
      <c r="J9" s="7"/>
      <c r="K9" s="40" t="s">
        <v>50</v>
      </c>
      <c r="L9" s="40"/>
      <c r="M9" s="7" t="n">
        <f aca="false">(D9+D12+D15+D18)/4</f>
        <v>1</v>
      </c>
      <c r="N9" s="7" t="n">
        <f aca="false">(E9+E12+E15+E18)/4</f>
        <v>1.93671445925174</v>
      </c>
      <c r="O9" s="7" t="n">
        <f aca="false">(F9+F12+F15+F18)/4</f>
        <v>3.71158608912061</v>
      </c>
      <c r="P9" s="7" t="n">
        <f aca="false">(G9+G12+G15+G18)/4</f>
        <v>5.86943412472102</v>
      </c>
      <c r="Q9" s="7" t="n">
        <f aca="false">(H9+H12+H15+H18)/4</f>
        <v>6.36134893246224</v>
      </c>
      <c r="R9" s="7" t="n">
        <f aca="false">(I9+I12+I15+I18)/4</f>
        <v>5.29976208750844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38"/>
    </row>
    <row r="10" customFormat="false" ht="14.25" hidden="false" customHeight="false" outlineLevel="0" collapsed="false">
      <c r="B10" s="36"/>
      <c r="C10" s="7" t="s">
        <v>51</v>
      </c>
      <c r="D10" s="7" t="n">
        <f aca="false">'Información completa'!E35</f>
        <v>104680</v>
      </c>
      <c r="E10" s="7" t="n">
        <f aca="false">'Información completa'!F35</f>
        <v>55872</v>
      </c>
      <c r="F10" s="7" t="n">
        <f aca="false">'Información completa'!G35</f>
        <v>32364</v>
      </c>
      <c r="G10" s="7" t="n">
        <f aca="false">'Información completa'!H35</f>
        <v>20691</v>
      </c>
      <c r="H10" s="7" t="n">
        <f aca="false">'Información completa'!I35</f>
        <v>20620</v>
      </c>
      <c r="I10" s="7" t="n">
        <f aca="false">'Información completa'!J35</f>
        <v>23785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38"/>
    </row>
    <row r="11" customFormat="false" ht="14.25" hidden="false" customHeight="false" outlineLevel="0" collapsed="false">
      <c r="B11" s="36"/>
      <c r="C11" s="15" t="s">
        <v>48</v>
      </c>
      <c r="D11" s="15" t="s">
        <v>2</v>
      </c>
      <c r="E11" s="15" t="s">
        <v>3</v>
      </c>
      <c r="F11" s="15" t="s">
        <v>4</v>
      </c>
      <c r="G11" s="15" t="s">
        <v>5</v>
      </c>
      <c r="H11" s="15" t="s">
        <v>6</v>
      </c>
      <c r="I11" s="15" t="s">
        <v>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38"/>
    </row>
    <row r="12" customFormat="false" ht="14.25" hidden="false" customHeight="false" outlineLevel="0" collapsed="false">
      <c r="B12" s="36"/>
      <c r="C12" s="7" t="s">
        <v>52</v>
      </c>
      <c r="D12" s="7" t="n">
        <v>1</v>
      </c>
      <c r="E12" s="7" t="n">
        <f aca="false">$D13/E13</f>
        <v>2.02848223227729</v>
      </c>
      <c r="F12" s="7" t="n">
        <f aca="false">$D13/F13</f>
        <v>3.96247746668195</v>
      </c>
      <c r="G12" s="7" t="n">
        <f aca="false">$D13/G13</f>
        <v>5.63345332800024</v>
      </c>
      <c r="H12" s="7" t="n">
        <f aca="false">$D13/H13</f>
        <v>6.56773257571178</v>
      </c>
      <c r="I12" s="7" t="n">
        <f aca="false">$D13/I13</f>
        <v>5.36992123927234</v>
      </c>
      <c r="J12" s="7"/>
      <c r="K12" s="7"/>
      <c r="L12" s="7"/>
      <c r="M12" s="7"/>
      <c r="N12" s="7"/>
      <c r="O12" s="1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38"/>
    </row>
    <row r="13" customFormat="false" ht="14.25" hidden="false" customHeight="false" outlineLevel="0" collapsed="false">
      <c r="B13" s="36"/>
      <c r="C13" s="7" t="s">
        <v>53</v>
      </c>
      <c r="D13" s="7" t="n">
        <f aca="false">'Información completa'!M35</f>
        <v>1521100</v>
      </c>
      <c r="E13" s="7" t="n">
        <f aca="false">'Información completa'!N35</f>
        <v>749871</v>
      </c>
      <c r="F13" s="7" t="n">
        <f aca="false">'Información completa'!O35</f>
        <v>383876</v>
      </c>
      <c r="G13" s="7" t="n">
        <f aca="false">'Información completa'!P35</f>
        <v>270012</v>
      </c>
      <c r="H13" s="7" t="n">
        <f aca="false">'Información completa'!Q35</f>
        <v>231602</v>
      </c>
      <c r="I13" s="7" t="n">
        <f aca="false">'Información completa'!R35</f>
        <v>283263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38"/>
    </row>
    <row r="14" customFormat="false" ht="14.25" hidden="false" customHeight="false" outlineLevel="0" collapsed="false">
      <c r="B14" s="36"/>
      <c r="C14" s="15" t="s">
        <v>48</v>
      </c>
      <c r="D14" s="15" t="s">
        <v>2</v>
      </c>
      <c r="E14" s="15" t="s">
        <v>3</v>
      </c>
      <c r="F14" s="15" t="s">
        <v>4</v>
      </c>
      <c r="G14" s="15" t="s">
        <v>5</v>
      </c>
      <c r="H14" s="15" t="s">
        <v>6</v>
      </c>
      <c r="I14" s="15" t="s">
        <v>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38"/>
    </row>
    <row r="15" customFormat="false" ht="14.25" hidden="false" customHeight="false" outlineLevel="0" collapsed="false">
      <c r="B15" s="36"/>
      <c r="C15" s="7" t="s">
        <v>54</v>
      </c>
      <c r="D15" s="7" t="n">
        <v>1</v>
      </c>
      <c r="E15" s="7" t="n">
        <f aca="false">$D16/E16</f>
        <v>1.73053771448075</v>
      </c>
      <c r="F15" s="7" t="n">
        <f aca="false">$D16/F16</f>
        <v>3.43509354583485</v>
      </c>
      <c r="G15" s="7" t="n">
        <f aca="false">$D16/G16</f>
        <v>6.38005030321251</v>
      </c>
      <c r="H15" s="7" t="n">
        <f aca="false">$D16/H16</f>
        <v>6.25444139174391</v>
      </c>
      <c r="I15" s="7" t="n">
        <f aca="false">$D16/I16</f>
        <v>3.69263735983906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38"/>
    </row>
    <row r="16" customFormat="false" ht="14.25" hidden="false" customHeight="false" outlineLevel="0" collapsed="false">
      <c r="B16" s="36"/>
      <c r="C16" s="7" t="s">
        <v>55</v>
      </c>
      <c r="D16" s="7" t="n">
        <f aca="false">'Información completa'!U35</f>
        <v>4350333</v>
      </c>
      <c r="E16" s="7" t="n">
        <f aca="false">'Información completa'!V35</f>
        <v>2513862</v>
      </c>
      <c r="F16" s="7" t="n">
        <f aca="false">'Información completa'!W35</f>
        <v>1266438</v>
      </c>
      <c r="G16" s="7" t="n">
        <f aca="false">'Información completa'!X35</f>
        <v>681865</v>
      </c>
      <c r="H16" s="7" t="n">
        <f aca="false">'Información completa'!Y35</f>
        <v>695559</v>
      </c>
      <c r="I16" s="7" t="n">
        <f aca="false">'Información completa'!Z35</f>
        <v>1178110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38"/>
    </row>
    <row r="17" customFormat="false" ht="14.25" hidden="false" customHeight="false" outlineLevel="0" collapsed="false">
      <c r="B17" s="36"/>
      <c r="C17" s="15" t="s">
        <v>48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15" t="s">
        <v>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38"/>
    </row>
    <row r="18" customFormat="false" ht="14.25" hidden="false" customHeight="false" outlineLevel="0" collapsed="false">
      <c r="B18" s="36"/>
      <c r="C18" s="7" t="s">
        <v>56</v>
      </c>
      <c r="D18" s="7" t="n">
        <v>1</v>
      </c>
      <c r="E18" s="7" t="n">
        <f aca="false">$D19/E19</f>
        <v>2.11426973446428</v>
      </c>
      <c r="F18" s="7" t="n">
        <f aca="false">$D19/F19</f>
        <v>4.21431530416834</v>
      </c>
      <c r="G18" s="7" t="n">
        <f aca="false">$D19/G19</f>
        <v>6.40502838262952</v>
      </c>
      <c r="H18" s="7" t="n">
        <f aca="false">$D19/H19</f>
        <v>7.5465971261178</v>
      </c>
      <c r="I18" s="7" t="n">
        <f aca="false">$D19/I19</f>
        <v>7.73539662500266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38"/>
    </row>
    <row r="19" customFormat="false" ht="14.25" hidden="false" customHeight="false" outlineLevel="0" collapsed="false">
      <c r="B19" s="36"/>
      <c r="C19" s="7" t="s">
        <v>57</v>
      </c>
      <c r="D19" s="7" t="n">
        <f aca="false">'Información completa'!AC35</f>
        <v>112677887</v>
      </c>
      <c r="E19" s="7" t="n">
        <f aca="false">'Información completa'!AD35</f>
        <v>53293998</v>
      </c>
      <c r="F19" s="7" t="n">
        <f aca="false">'Información completa'!AE35</f>
        <v>26736938</v>
      </c>
      <c r="G19" s="7" t="n">
        <f aca="false">'Información completa'!AF35</f>
        <v>17592098</v>
      </c>
      <c r="H19" s="7" t="n">
        <f aca="false">'Información completa'!AG35</f>
        <v>14930953</v>
      </c>
      <c r="I19" s="7" t="n">
        <f aca="false">'Información completa'!AH35</f>
        <v>14566530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38"/>
    </row>
    <row r="20" customFormat="false" ht="14.25" hidden="false" customHeight="false" outlineLevel="0" collapsed="false">
      <c r="B20" s="3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38"/>
    </row>
    <row r="21" customFormat="false" ht="14.25" hidden="false" customHeight="false" outlineLevel="0" collapsed="false">
      <c r="B21" s="3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38"/>
    </row>
    <row r="22" customFormat="false" ht="14.25" hidden="false" customHeight="false" outlineLevel="0" collapsed="false">
      <c r="B22" s="3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38"/>
    </row>
    <row r="23" customFormat="false" ht="14.25" hidden="false" customHeight="false" outlineLevel="0" collapsed="false">
      <c r="B23" s="3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38"/>
    </row>
    <row r="24" customFormat="false" ht="14.25" hidden="false" customHeight="false" outlineLevel="0" collapsed="false">
      <c r="B24" s="3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38"/>
    </row>
    <row r="25" customFormat="false" ht="14.25" hidden="false" customHeight="false" outlineLevel="0" collapsed="false">
      <c r="B25" s="3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38"/>
    </row>
    <row r="26" customFormat="false" ht="14.25" hidden="false" customHeight="false" outlineLevel="0" collapsed="false">
      <c r="B26" s="3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38"/>
    </row>
    <row r="27" customFormat="false" ht="14.25" hidden="false" customHeight="false" outlineLevel="0" collapsed="false">
      <c r="B27" s="3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38"/>
    </row>
    <row r="28" customFormat="false" ht="14.25" hidden="false" customHeight="false" outlineLevel="0" collapsed="false">
      <c r="B28" s="3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38"/>
    </row>
    <row r="29" customFormat="false" ht="14.25" hidden="false" customHeight="false" outlineLevel="0" collapsed="false">
      <c r="B29" s="3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38"/>
    </row>
    <row r="30" customFormat="false" ht="14.25" hidden="false" customHeight="false" outlineLevel="0" collapsed="false">
      <c r="B30" s="3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38"/>
    </row>
    <row r="31" customFormat="false" ht="14.25" hidden="false" customHeight="false" outlineLevel="0" collapsed="false">
      <c r="B31" s="3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38"/>
    </row>
    <row r="32" customFormat="false" ht="14.25" hidden="false" customHeight="false" outlineLevel="0" collapsed="false">
      <c r="B32" s="3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38"/>
    </row>
    <row r="33" customFormat="false" ht="14.25" hidden="false" customHeight="false" outlineLevel="0" collapsed="false">
      <c r="B33" s="3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38"/>
    </row>
    <row r="34" customFormat="false" ht="14.25" hidden="false" customHeight="false" outlineLevel="0" collapsed="false">
      <c r="B34" s="3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38"/>
    </row>
    <row r="35" customFormat="false" ht="14.25" hidden="false" customHeight="false" outlineLevel="0" collapsed="false">
      <c r="B35" s="3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38"/>
    </row>
    <row r="36" customFormat="false" ht="14.25" hidden="false" customHeight="false" outlineLevel="0" collapsed="false">
      <c r="B36" s="3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38"/>
    </row>
    <row r="37" customFormat="false" ht="14.25" hidden="false" customHeight="false" outlineLevel="0" collapsed="false">
      <c r="B37" s="3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38"/>
    </row>
    <row r="38" customFormat="false" ht="14.25" hidden="false" customHeight="false" outlineLevel="0" collapsed="false">
      <c r="B38" s="3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38"/>
    </row>
    <row r="39" customFormat="false" ht="14.25" hidden="false" customHeight="false" outlineLevel="0" collapsed="false">
      <c r="B39" s="3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38"/>
    </row>
    <row r="40" customFormat="false" ht="14.25" hidden="false" customHeight="false" outlineLevel="0" collapsed="false">
      <c r="B40" s="3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38"/>
    </row>
    <row r="41" customFormat="false" ht="14.25" hidden="false" customHeight="false" outlineLevel="0" collapsed="false">
      <c r="B41" s="3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38"/>
    </row>
    <row r="42" customFormat="false" ht="14.25" hidden="false" customHeight="false" outlineLevel="0" collapsed="false">
      <c r="B42" s="3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38"/>
    </row>
    <row r="43" customFormat="false" ht="14.25" hidden="false" customHeight="false" outlineLevel="0" collapsed="false">
      <c r="B43" s="3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38"/>
    </row>
    <row r="44" customFormat="false" ht="14.25" hidden="false" customHeight="false" outlineLevel="0" collapsed="false">
      <c r="B44" s="3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38"/>
    </row>
    <row r="45" customFormat="false" ht="14.25" hidden="false" customHeight="false" outlineLevel="0" collapsed="false">
      <c r="B45" s="3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38"/>
    </row>
    <row r="46" customFormat="false" ht="14.25" hidden="false" customHeight="false" outlineLevel="0" collapsed="false">
      <c r="B46" s="3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38"/>
    </row>
    <row r="47" customFormat="false" ht="14.25" hidden="false" customHeight="false" outlineLevel="0" collapsed="false">
      <c r="B47" s="3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38"/>
    </row>
    <row r="48" customFormat="false" ht="14.25" hidden="false" customHeight="false" outlineLevel="0" collapsed="false">
      <c r="B48" s="3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38"/>
    </row>
    <row r="49" customFormat="false" ht="14.25" hidden="false" customHeight="false" outlineLevel="0" collapsed="false">
      <c r="B49" s="3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38"/>
    </row>
    <row r="50" customFormat="false" ht="14.25" hidden="false" customHeight="false" outlineLevel="0" collapsed="false">
      <c r="B50" s="3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38"/>
    </row>
    <row r="51" customFormat="false" ht="14.25" hidden="false" customHeight="false" outlineLevel="0" collapsed="false">
      <c r="B51" s="3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38"/>
    </row>
    <row r="52" customFormat="false" ht="14.25" hidden="false" customHeight="false" outlineLevel="0" collapsed="false">
      <c r="B52" s="3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38"/>
    </row>
    <row r="53" customFormat="false" ht="14.25" hidden="false" customHeight="false" outlineLevel="0" collapsed="false">
      <c r="B53" s="3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38"/>
    </row>
    <row r="54" customFormat="false" ht="14.25" hidden="false" customHeight="false" outlineLevel="0" collapsed="false">
      <c r="B54" s="3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38"/>
    </row>
    <row r="55" customFormat="false" ht="14.25" hidden="false" customHeight="false" outlineLevel="0" collapsed="false">
      <c r="B55" s="3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38"/>
    </row>
    <row r="56" customFormat="false" ht="14.25" hidden="false" customHeight="false" outlineLevel="0" collapsed="false">
      <c r="B56" s="3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38"/>
    </row>
    <row r="57" customFormat="false" ht="14.25" hidden="false" customHeight="false" outlineLevel="0" collapsed="false">
      <c r="B57" s="3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38"/>
    </row>
    <row r="58" customFormat="false" ht="14.25" hidden="false" customHeight="false" outlineLevel="0" collapsed="false">
      <c r="B58" s="3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38"/>
    </row>
    <row r="59" customFormat="false" ht="14.25" hidden="false" customHeight="false" outlineLevel="0" collapsed="false">
      <c r="B59" s="3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38"/>
    </row>
    <row r="60" customFormat="false" ht="14.25" hidden="false" customHeight="false" outlineLevel="0" collapsed="false">
      <c r="B60" s="3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38"/>
    </row>
    <row r="61" customFormat="false" ht="14.25" hidden="false" customHeight="false" outlineLevel="0" collapsed="false">
      <c r="B61" s="3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38"/>
    </row>
    <row r="62" customFormat="false" ht="14.25" hidden="false" customHeight="false" outlineLevel="0" collapsed="false">
      <c r="B62" s="3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38"/>
    </row>
    <row r="63" customFormat="false" ht="14.25" hidden="false" customHeight="false" outlineLevel="0" collapsed="false">
      <c r="B63" s="3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38"/>
    </row>
    <row r="64" customFormat="false" ht="14.25" hidden="false" customHeight="false" outlineLevel="0" collapsed="false">
      <c r="B64" s="3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38"/>
    </row>
    <row r="65" customFormat="false" ht="14.25" hidden="false" customHeight="false" outlineLevel="0" collapsed="false">
      <c r="B65" s="3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38"/>
    </row>
    <row r="66" customFormat="false" ht="14.25" hidden="false" customHeight="false" outlineLevel="0" collapsed="false">
      <c r="B66" s="3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38"/>
    </row>
    <row r="67" customFormat="false" ht="14.25" hidden="false" customHeight="false" outlineLevel="0" collapsed="false">
      <c r="B67" s="3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38"/>
    </row>
    <row r="68" customFormat="false" ht="14.25" hidden="false" customHeight="false" outlineLevel="0" collapsed="false">
      <c r="B68" s="3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38"/>
    </row>
    <row r="69" customFormat="false" ht="14.25" hidden="false" customHeight="false" outlineLevel="0" collapsed="false">
      <c r="B69" s="3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38"/>
    </row>
    <row r="70" customFormat="false" ht="28.5" hidden="false" customHeight="true" outlineLevel="0" collapsed="false"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3"/>
    </row>
    <row r="74" customFormat="false" ht="14.25" hidden="false" customHeight="false" outlineLevel="0" collapsed="false">
      <c r="B74" s="33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5"/>
    </row>
    <row r="75" customFormat="false" ht="33.85" hidden="false" customHeight="false" outlineLevel="0" collapsed="false">
      <c r="B75" s="36"/>
      <c r="C75" s="37" t="s">
        <v>58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38"/>
    </row>
    <row r="76" customFormat="false" ht="14.25" hidden="false" customHeight="false" outlineLevel="0" collapsed="false">
      <c r="B76" s="36"/>
      <c r="C76" s="15" t="s">
        <v>48</v>
      </c>
      <c r="D76" s="15" t="s">
        <v>2</v>
      </c>
      <c r="E76" s="15" t="s">
        <v>3</v>
      </c>
      <c r="F76" s="15" t="s">
        <v>4</v>
      </c>
      <c r="G76" s="15" t="s">
        <v>5</v>
      </c>
      <c r="H76" s="15" t="s">
        <v>6</v>
      </c>
      <c r="I76" s="15" t="s">
        <v>7</v>
      </c>
      <c r="J76" s="7"/>
      <c r="K76" s="39" t="s">
        <v>48</v>
      </c>
      <c r="L76" s="39"/>
      <c r="M76" s="15" t="s">
        <v>2</v>
      </c>
      <c r="N76" s="15" t="s">
        <v>3</v>
      </c>
      <c r="O76" s="15" t="s">
        <v>4</v>
      </c>
      <c r="P76" s="15" t="s">
        <v>5</v>
      </c>
      <c r="Q76" s="15" t="s">
        <v>6</v>
      </c>
      <c r="R76" s="15" t="s">
        <v>7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38"/>
    </row>
    <row r="77" customFormat="false" ht="14.25" hidden="false" customHeight="false" outlineLevel="0" collapsed="false">
      <c r="B77" s="36"/>
      <c r="C77" s="7" t="s">
        <v>49</v>
      </c>
      <c r="D77" s="7" t="n">
        <v>1</v>
      </c>
      <c r="E77" s="7" t="n">
        <f aca="false">$D78/E78</f>
        <v>1.60954448162552</v>
      </c>
      <c r="F77" s="7" t="n">
        <f aca="false">$D78/F78</f>
        <v>2.48870554234839</v>
      </c>
      <c r="G77" s="7" t="n">
        <f aca="false">$D78/G78</f>
        <v>3.19048415819101</v>
      </c>
      <c r="H77" s="7" t="n">
        <f aca="false">$D78/H78</f>
        <v>3.45344113842173</v>
      </c>
      <c r="I77" s="7" t="n">
        <f aca="false">$D78/I78</f>
        <v>3.13591457469428</v>
      </c>
      <c r="J77" s="7"/>
      <c r="K77" s="40" t="s">
        <v>50</v>
      </c>
      <c r="L77" s="40"/>
      <c r="M77" s="7" t="n">
        <f aca="false">(D77+D80+D83+D86)/4</f>
        <v>1</v>
      </c>
      <c r="N77" s="7" t="n">
        <f aca="false">(E77+E80+E83+E86)/4</f>
        <v>1.87438525157342</v>
      </c>
      <c r="O77" s="7" t="n">
        <f aca="false">(F77+F80+F83+F86)/4</f>
        <v>3.3475179130674</v>
      </c>
      <c r="P77" s="7" t="n">
        <f aca="false">(G77+G80+G83+G86)/4</f>
        <v>4.57285246979772</v>
      </c>
      <c r="Q77" s="7" t="n">
        <f aca="false">(H77+H80+H83+H86)/4</f>
        <v>5.1701274856784</v>
      </c>
      <c r="R77" s="7" t="n">
        <f aca="false">(I77+I80+I83+I86)/4</f>
        <v>5.11156837509085</v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38"/>
    </row>
    <row r="78" customFormat="false" ht="14.25" hidden="false" customHeight="false" outlineLevel="0" collapsed="false">
      <c r="B78" s="36"/>
      <c r="C78" s="7" t="s">
        <v>51</v>
      </c>
      <c r="D78" s="7" t="n">
        <f aca="false">'Información completa'!E71</f>
        <v>266951</v>
      </c>
      <c r="E78" s="7" t="n">
        <f aca="false">'Información completa'!F71</f>
        <v>165855</v>
      </c>
      <c r="F78" s="7" t="n">
        <f aca="false">'Información completa'!G71</f>
        <v>107265</v>
      </c>
      <c r="G78" s="7" t="n">
        <f aca="false">'Información completa'!H71</f>
        <v>83671</v>
      </c>
      <c r="H78" s="7" t="n">
        <f aca="false">'Información completa'!I71</f>
        <v>77300</v>
      </c>
      <c r="I78" s="7" t="n">
        <f aca="false">'Información completa'!J71</f>
        <v>85127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38"/>
    </row>
    <row r="79" customFormat="false" ht="14.25" hidden="false" customHeight="false" outlineLevel="0" collapsed="false">
      <c r="B79" s="36"/>
      <c r="C79" s="15" t="s">
        <v>48</v>
      </c>
      <c r="D79" s="15" t="s">
        <v>2</v>
      </c>
      <c r="E79" s="15" t="s">
        <v>3</v>
      </c>
      <c r="F79" s="15" t="s">
        <v>4</v>
      </c>
      <c r="G79" s="15" t="s">
        <v>5</v>
      </c>
      <c r="H79" s="15" t="s">
        <v>6</v>
      </c>
      <c r="I79" s="15" t="s">
        <v>7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38"/>
    </row>
    <row r="80" customFormat="false" ht="14.25" hidden="false" customHeight="false" outlineLevel="0" collapsed="false">
      <c r="B80" s="36"/>
      <c r="C80" s="7" t="s">
        <v>52</v>
      </c>
      <c r="D80" s="7" t="n">
        <v>1</v>
      </c>
      <c r="E80" s="7" t="n">
        <f aca="false">$D81/E81</f>
        <v>1.93073520164046</v>
      </c>
      <c r="F80" s="7" t="n">
        <f aca="false">$D81/F81</f>
        <v>3.35201538715674</v>
      </c>
      <c r="G80" s="7" t="n">
        <f aca="false">$D81/G81</f>
        <v>4.63036858490987</v>
      </c>
      <c r="H80" s="7" t="n">
        <f aca="false">$D81/H81</f>
        <v>5.17516972901985</v>
      </c>
      <c r="I80" s="7" t="n">
        <f aca="false">$D81/I81</f>
        <v>4.98337666296883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38"/>
    </row>
    <row r="81" customFormat="false" ht="14.25" hidden="false" customHeight="false" outlineLevel="0" collapsed="false">
      <c r="B81" s="36"/>
      <c r="C81" s="7" t="s">
        <v>53</v>
      </c>
      <c r="D81" s="7" t="n">
        <f aca="false">'Información completa'!M71</f>
        <v>1765416</v>
      </c>
      <c r="E81" s="7" t="n">
        <f aca="false">'Información completa'!N71</f>
        <v>914375</v>
      </c>
      <c r="F81" s="7" t="n">
        <f aca="false">'Información completa'!O71</f>
        <v>526673</v>
      </c>
      <c r="G81" s="7" t="n">
        <f aca="false">'Información completa'!P71</f>
        <v>381269</v>
      </c>
      <c r="H81" s="7" t="n">
        <f aca="false">'Información completa'!Q71</f>
        <v>341132</v>
      </c>
      <c r="I81" s="7" t="n">
        <f aca="false">'Información completa'!R71</f>
        <v>354261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38"/>
    </row>
    <row r="82" customFormat="false" ht="14.25" hidden="false" customHeight="false" outlineLevel="0" collapsed="false">
      <c r="B82" s="36"/>
      <c r="C82" s="15" t="s">
        <v>48</v>
      </c>
      <c r="D82" s="15" t="s">
        <v>2</v>
      </c>
      <c r="E82" s="15" t="s">
        <v>3</v>
      </c>
      <c r="F82" s="15" t="s">
        <v>4</v>
      </c>
      <c r="G82" s="15" t="s">
        <v>5</v>
      </c>
      <c r="H82" s="15" t="s">
        <v>6</v>
      </c>
      <c r="I82" s="15" t="s">
        <v>7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38"/>
    </row>
    <row r="83" customFormat="false" ht="14.25" hidden="false" customHeight="false" outlineLevel="0" collapsed="false">
      <c r="B83" s="36"/>
      <c r="C83" s="7" t="s">
        <v>56</v>
      </c>
      <c r="D83" s="7" t="n">
        <v>1</v>
      </c>
      <c r="E83" s="7" t="n">
        <f aca="false">$D84/E84</f>
        <v>1.95731715583485</v>
      </c>
      <c r="F83" s="7" t="n">
        <f aca="false">$D84/F84</f>
        <v>3.72815111870164</v>
      </c>
      <c r="G83" s="7" t="n">
        <f aca="false">$D84/G84</f>
        <v>5.09259412684884</v>
      </c>
      <c r="H83" s="7" t="n">
        <f aca="false">$D84/H84</f>
        <v>5.84101363194593</v>
      </c>
      <c r="I83" s="7" t="n">
        <f aca="false">$D84/I84</f>
        <v>5.73154561929742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38"/>
    </row>
    <row r="84" customFormat="false" ht="14.25" hidden="false" customHeight="false" outlineLevel="0" collapsed="false">
      <c r="B84" s="36"/>
      <c r="C84" s="7" t="s">
        <v>57</v>
      </c>
      <c r="D84" s="7" t="n">
        <f aca="false">'Información completa'!U71</f>
        <v>6208244</v>
      </c>
      <c r="E84" s="7" t="n">
        <f aca="false">'Información completa'!V71</f>
        <v>3171813</v>
      </c>
      <c r="F84" s="7" t="n">
        <f aca="false">'Información completa'!W71</f>
        <v>1665234</v>
      </c>
      <c r="G84" s="7" t="n">
        <f aca="false">'Información completa'!X71</f>
        <v>1219073</v>
      </c>
      <c r="H84" s="7" t="n">
        <f aca="false">'Información completa'!Y71</f>
        <v>1062871</v>
      </c>
      <c r="I84" s="7" t="n">
        <f aca="false">'Información completa'!Z71</f>
        <v>1083171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38"/>
    </row>
    <row r="85" customFormat="false" ht="14.25" hidden="false" customHeight="false" outlineLevel="0" collapsed="false">
      <c r="B85" s="36"/>
      <c r="C85" s="15" t="s">
        <v>48</v>
      </c>
      <c r="D85" s="15" t="s">
        <v>2</v>
      </c>
      <c r="E85" s="15" t="s">
        <v>3</v>
      </c>
      <c r="F85" s="15" t="s">
        <v>4</v>
      </c>
      <c r="G85" s="15" t="s">
        <v>5</v>
      </c>
      <c r="H85" s="15" t="s">
        <v>6</v>
      </c>
      <c r="I85" s="15" t="s">
        <v>7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38"/>
    </row>
    <row r="86" customFormat="false" ht="14.25" hidden="false" customHeight="false" outlineLevel="0" collapsed="false">
      <c r="B86" s="36"/>
      <c r="C86" s="7" t="s">
        <v>59</v>
      </c>
      <c r="D86" s="7" t="n">
        <v>1</v>
      </c>
      <c r="E86" s="7" t="n">
        <f aca="false">$D87/E87</f>
        <v>1.99994416719286</v>
      </c>
      <c r="F86" s="7" t="n">
        <f aca="false">$D87/F87</f>
        <v>3.82119960406284</v>
      </c>
      <c r="G86" s="7" t="n">
        <f aca="false">$D87/G87</f>
        <v>5.37796300924115</v>
      </c>
      <c r="H86" s="7" t="n">
        <f aca="false">$D87/H87</f>
        <v>6.21088544332607</v>
      </c>
      <c r="I86" s="7" t="n">
        <f aca="false">$D87/I87</f>
        <v>6.59543664340287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38"/>
    </row>
    <row r="87" customFormat="false" ht="14.25" hidden="false" customHeight="false" outlineLevel="0" collapsed="false">
      <c r="B87" s="36"/>
      <c r="C87" s="7" t="s">
        <v>60</v>
      </c>
      <c r="D87" s="7" t="n">
        <f aca="false">'Información completa'!AC71</f>
        <v>16441487</v>
      </c>
      <c r="E87" s="7" t="n">
        <f aca="false">'Información completa'!AD71</f>
        <v>8220973</v>
      </c>
      <c r="F87" s="7" t="n">
        <f aca="false">'Información completa'!AE71</f>
        <v>4302703</v>
      </c>
      <c r="G87" s="7" t="n">
        <f aca="false">'Información completa'!AF71</f>
        <v>3057196</v>
      </c>
      <c r="H87" s="7" t="n">
        <f aca="false">'Información completa'!AG71</f>
        <v>2647205</v>
      </c>
      <c r="I87" s="7" t="n">
        <f aca="false">'Información completa'!AH71</f>
        <v>2492858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38"/>
    </row>
    <row r="88" customFormat="false" ht="14.25" hidden="false" customHeight="false" outlineLevel="0" collapsed="false">
      <c r="B88" s="3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38"/>
    </row>
    <row r="89" customFormat="false" ht="14.25" hidden="false" customHeight="false" outlineLevel="0" collapsed="false">
      <c r="B89" s="3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38"/>
    </row>
    <row r="90" customFormat="false" ht="14.25" hidden="false" customHeight="false" outlineLevel="0" collapsed="false">
      <c r="B90" s="3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38"/>
    </row>
    <row r="91" customFormat="false" ht="14.25" hidden="false" customHeight="false" outlineLevel="0" collapsed="false">
      <c r="B91" s="3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38"/>
    </row>
    <row r="92" customFormat="false" ht="14.25" hidden="false" customHeight="false" outlineLevel="0" collapsed="false">
      <c r="B92" s="3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38"/>
    </row>
    <row r="93" customFormat="false" ht="14.25" hidden="false" customHeight="false" outlineLevel="0" collapsed="false">
      <c r="B93" s="3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38"/>
    </row>
    <row r="94" customFormat="false" ht="14.25" hidden="false" customHeight="false" outlineLevel="0" collapsed="false">
      <c r="B94" s="3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38"/>
    </row>
    <row r="95" customFormat="false" ht="14.25" hidden="false" customHeight="false" outlineLevel="0" collapsed="false">
      <c r="B95" s="3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38"/>
    </row>
    <row r="96" customFormat="false" ht="14.25" hidden="false" customHeight="false" outlineLevel="0" collapsed="false">
      <c r="B96" s="3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38"/>
    </row>
    <row r="97" customFormat="false" ht="14.25" hidden="false" customHeight="false" outlineLevel="0" collapsed="false">
      <c r="B97" s="3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38"/>
    </row>
    <row r="98" customFormat="false" ht="14.25" hidden="false" customHeight="false" outlineLevel="0" collapsed="false">
      <c r="B98" s="3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38"/>
    </row>
    <row r="99" customFormat="false" ht="14.25" hidden="false" customHeight="false" outlineLevel="0" collapsed="false">
      <c r="B99" s="3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38"/>
    </row>
    <row r="100" customFormat="false" ht="14.25" hidden="false" customHeight="false" outlineLevel="0" collapsed="false">
      <c r="B100" s="3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38"/>
    </row>
    <row r="101" customFormat="false" ht="14.25" hidden="false" customHeight="false" outlineLevel="0" collapsed="false">
      <c r="B101" s="3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38"/>
    </row>
    <row r="102" customFormat="false" ht="14.25" hidden="false" customHeight="false" outlineLevel="0" collapsed="false">
      <c r="B102" s="3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38"/>
    </row>
    <row r="103" customFormat="false" ht="14.25" hidden="false" customHeight="false" outlineLevel="0" collapsed="false">
      <c r="B103" s="3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38"/>
    </row>
    <row r="104" customFormat="false" ht="14.25" hidden="false" customHeight="false" outlineLevel="0" collapsed="false">
      <c r="B104" s="3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38"/>
    </row>
    <row r="105" customFormat="false" ht="14.25" hidden="false" customHeight="false" outlineLevel="0" collapsed="false">
      <c r="B105" s="3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38"/>
    </row>
    <row r="106" customFormat="false" ht="14.25" hidden="false" customHeight="false" outlineLevel="0" collapsed="false">
      <c r="B106" s="3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38"/>
    </row>
    <row r="107" customFormat="false" ht="14.25" hidden="false" customHeight="false" outlineLevel="0" collapsed="false">
      <c r="B107" s="3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38"/>
    </row>
    <row r="108" customFormat="false" ht="14.25" hidden="false" customHeight="false" outlineLevel="0" collapsed="false">
      <c r="B108" s="3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38"/>
    </row>
    <row r="109" customFormat="false" ht="14.25" hidden="false" customHeight="false" outlineLevel="0" collapsed="false">
      <c r="B109" s="3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38"/>
    </row>
    <row r="110" customFormat="false" ht="14.25" hidden="false" customHeight="false" outlineLevel="0" collapsed="false">
      <c r="B110" s="3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38"/>
    </row>
    <row r="111" customFormat="false" ht="14.25" hidden="false" customHeight="false" outlineLevel="0" collapsed="false">
      <c r="B111" s="3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38"/>
    </row>
    <row r="112" customFormat="false" ht="14.25" hidden="false" customHeight="false" outlineLevel="0" collapsed="false">
      <c r="B112" s="3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38"/>
    </row>
    <row r="113" customFormat="false" ht="14.25" hidden="false" customHeight="false" outlineLevel="0" collapsed="false">
      <c r="B113" s="3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38"/>
    </row>
    <row r="114" customFormat="false" ht="14.25" hidden="false" customHeight="false" outlineLevel="0" collapsed="false">
      <c r="B114" s="3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38"/>
    </row>
    <row r="115" customFormat="false" ht="14.25" hidden="false" customHeight="false" outlineLevel="0" collapsed="false">
      <c r="B115" s="3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38"/>
    </row>
    <row r="116" customFormat="false" ht="14.25" hidden="false" customHeight="false" outlineLevel="0" collapsed="false">
      <c r="B116" s="3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38"/>
    </row>
    <row r="117" customFormat="false" ht="14.25" hidden="false" customHeight="false" outlineLevel="0" collapsed="false">
      <c r="B117" s="3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38"/>
    </row>
    <row r="118" customFormat="false" ht="14.25" hidden="false" customHeight="false" outlineLevel="0" collapsed="false">
      <c r="B118" s="3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38"/>
    </row>
    <row r="119" customFormat="false" ht="14.25" hidden="false" customHeight="false" outlineLevel="0" collapsed="false">
      <c r="B119" s="3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38"/>
    </row>
    <row r="120" customFormat="false" ht="14.25" hidden="false" customHeight="false" outlineLevel="0" collapsed="false">
      <c r="B120" s="3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38"/>
    </row>
    <row r="121" customFormat="false" ht="14.25" hidden="false" customHeight="false" outlineLevel="0" collapsed="false">
      <c r="B121" s="3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38"/>
    </row>
    <row r="122" customFormat="false" ht="14.25" hidden="false" customHeight="false" outlineLevel="0" collapsed="false">
      <c r="B122" s="3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38"/>
    </row>
    <row r="123" customFormat="false" ht="14.25" hidden="false" customHeight="false" outlineLevel="0" collapsed="false">
      <c r="B123" s="3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38"/>
    </row>
    <row r="124" customFormat="false" ht="14.25" hidden="false" customHeight="false" outlineLevel="0" collapsed="false">
      <c r="B124" s="3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38"/>
    </row>
    <row r="125" customFormat="false" ht="14.25" hidden="false" customHeight="false" outlineLevel="0" collapsed="false">
      <c r="B125" s="3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38"/>
    </row>
    <row r="126" customFormat="false" ht="14.25" hidden="false" customHeight="false" outlineLevel="0" collapsed="false">
      <c r="B126" s="3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38"/>
    </row>
    <row r="127" customFormat="false" ht="14.25" hidden="false" customHeight="false" outlineLevel="0" collapsed="false">
      <c r="B127" s="3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38"/>
    </row>
    <row r="128" customFormat="false" ht="14.25" hidden="false" customHeight="false" outlineLevel="0" collapsed="false">
      <c r="B128" s="3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38"/>
    </row>
    <row r="129" customFormat="false" ht="14.25" hidden="false" customHeight="false" outlineLevel="0" collapsed="false">
      <c r="B129" s="3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38"/>
    </row>
    <row r="130" customFormat="false" ht="14.25" hidden="false" customHeight="false" outlineLevel="0" collapsed="false">
      <c r="B130" s="3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38"/>
    </row>
    <row r="131" customFormat="false" ht="14.25" hidden="false" customHeight="false" outlineLevel="0" collapsed="false">
      <c r="B131" s="3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38"/>
    </row>
    <row r="132" customFormat="false" ht="14.25" hidden="false" customHeight="false" outlineLevel="0" collapsed="false">
      <c r="B132" s="3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38"/>
    </row>
    <row r="133" customFormat="false" ht="14.25" hidden="false" customHeight="false" outlineLevel="0" collapsed="false">
      <c r="B133" s="3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38"/>
    </row>
    <row r="134" customFormat="false" ht="14.25" hidden="false" customHeight="false" outlineLevel="0" collapsed="false">
      <c r="B134" s="3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38"/>
    </row>
    <row r="135" customFormat="false" ht="14.25" hidden="false" customHeight="false" outlineLevel="0" collapsed="false">
      <c r="B135" s="3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38"/>
    </row>
    <row r="136" customFormat="false" ht="14.25" hidden="false" customHeight="false" outlineLevel="0" collapsed="false">
      <c r="B136" s="3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38"/>
    </row>
    <row r="137" customFormat="false" ht="14.25" hidden="false" customHeight="false" outlineLevel="0" collapsed="false">
      <c r="B137" s="3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38"/>
    </row>
    <row r="138" customFormat="false" ht="28.5" hidden="false" customHeight="true" outlineLevel="0" collapsed="false">
      <c r="B138" s="41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3"/>
    </row>
    <row r="142" customFormat="false" ht="14.25" hidden="false" customHeight="false" outlineLevel="0" collapsed="false">
      <c r="B142" s="33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5"/>
    </row>
    <row r="143" customFormat="false" ht="33.85" hidden="false" customHeight="false" outlineLevel="0" collapsed="false">
      <c r="B143" s="36"/>
      <c r="C143" s="37" t="s">
        <v>61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38"/>
    </row>
    <row r="144" customFormat="false" ht="14.25" hidden="false" customHeight="false" outlineLevel="0" collapsed="false">
      <c r="B144" s="36"/>
      <c r="C144" s="15" t="s">
        <v>48</v>
      </c>
      <c r="D144" s="15" t="s">
        <v>2</v>
      </c>
      <c r="E144" s="15" t="s">
        <v>3</v>
      </c>
      <c r="F144" s="15" t="s">
        <v>4</v>
      </c>
      <c r="G144" s="15" t="s">
        <v>5</v>
      </c>
      <c r="H144" s="15" t="s">
        <v>6</v>
      </c>
      <c r="I144" s="15" t="s">
        <v>7</v>
      </c>
      <c r="J144" s="7"/>
      <c r="K144" s="39" t="s">
        <v>48</v>
      </c>
      <c r="L144" s="39"/>
      <c r="M144" s="15" t="s">
        <v>2</v>
      </c>
      <c r="N144" s="15" t="s">
        <v>3</v>
      </c>
      <c r="O144" s="15" t="s">
        <v>4</v>
      </c>
      <c r="P144" s="15" t="s">
        <v>5</v>
      </c>
      <c r="Q144" s="15" t="s">
        <v>6</v>
      </c>
      <c r="R144" s="15" t="s">
        <v>7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38"/>
    </row>
    <row r="145" customFormat="false" ht="14.25" hidden="false" customHeight="false" outlineLevel="0" collapsed="false">
      <c r="B145" s="36"/>
      <c r="C145" s="7" t="s">
        <v>49</v>
      </c>
      <c r="D145" s="7" t="n">
        <v>1</v>
      </c>
      <c r="E145" s="7" t="n">
        <f aca="false">$D146/E146</f>
        <v>1.70811070479701</v>
      </c>
      <c r="F145" s="7" t="n">
        <f aca="false">$D146/F146</f>
        <v>2.77070727149843</v>
      </c>
      <c r="G145" s="7" t="n">
        <f aca="false">$D146/G146</f>
        <v>3.84594499139111</v>
      </c>
      <c r="H145" s="7" t="n">
        <f aca="false">$D146/H146</f>
        <v>4.15429368495094</v>
      </c>
      <c r="I145" s="7" t="n">
        <f aca="false">$D146/I146</f>
        <v>4.39456194115496</v>
      </c>
      <c r="J145" s="7"/>
      <c r="K145" s="40" t="s">
        <v>50</v>
      </c>
      <c r="L145" s="40"/>
      <c r="M145" s="7" t="n">
        <f aca="false">(D145+D148+D151+D154)/4</f>
        <v>1</v>
      </c>
      <c r="N145" s="7" t="n">
        <f aca="false">(E145+E148+E151+E154)/4</f>
        <v>1.91976174321117</v>
      </c>
      <c r="O145" s="7" t="n">
        <f aca="false">(F145+F148+F151+F154)/4</f>
        <v>3.67092494846735</v>
      </c>
      <c r="P145" s="7" t="n">
        <f aca="false">(G145+G148+G151+G154)/4</f>
        <v>5.51122920424709</v>
      </c>
      <c r="Q145" s="7" t="n">
        <f aca="false">(H145+H148+H151+H154)/4</f>
        <v>6.05203960796745</v>
      </c>
      <c r="R145" s="7" t="n">
        <f aca="false">(I145+I148+I151+I154)/4</f>
        <v>6.34458051160472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38"/>
    </row>
    <row r="146" customFormat="false" ht="14.25" hidden="false" customHeight="false" outlineLevel="0" collapsed="false">
      <c r="B146" s="36"/>
      <c r="C146" s="7" t="s">
        <v>51</v>
      </c>
      <c r="D146" s="7" t="n">
        <f aca="false">'Información completa'!E107</f>
        <v>348458</v>
      </c>
      <c r="E146" s="7" t="n">
        <f aca="false">'Información completa'!F107</f>
        <v>204002</v>
      </c>
      <c r="F146" s="7" t="n">
        <f aca="false">'Información completa'!G107</f>
        <v>125765</v>
      </c>
      <c r="G146" s="7" t="n">
        <f aca="false">'Información completa'!H107</f>
        <v>90604</v>
      </c>
      <c r="H146" s="7" t="n">
        <f aca="false">'Información completa'!I107</f>
        <v>83879</v>
      </c>
      <c r="I146" s="7" t="n">
        <f aca="false">'Información completa'!J107</f>
        <v>79293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38"/>
    </row>
    <row r="147" customFormat="false" ht="14.25" hidden="false" customHeight="false" outlineLevel="0" collapsed="false">
      <c r="B147" s="36"/>
      <c r="C147" s="15" t="s">
        <v>48</v>
      </c>
      <c r="D147" s="15" t="s">
        <v>2</v>
      </c>
      <c r="E147" s="15" t="s">
        <v>3</v>
      </c>
      <c r="F147" s="15" t="s">
        <v>4</v>
      </c>
      <c r="G147" s="15" t="s">
        <v>5</v>
      </c>
      <c r="H147" s="15" t="s">
        <v>6</v>
      </c>
      <c r="I147" s="15" t="s">
        <v>7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38"/>
    </row>
    <row r="148" customFormat="false" ht="14.25" hidden="false" customHeight="false" outlineLevel="0" collapsed="false">
      <c r="B148" s="36"/>
      <c r="C148" s="7" t="s">
        <v>52</v>
      </c>
      <c r="D148" s="7" t="n">
        <v>1</v>
      </c>
      <c r="E148" s="7" t="n">
        <f aca="false">$D149/E149</f>
        <v>1.99838540939165</v>
      </c>
      <c r="F148" s="7" t="n">
        <f aca="false">$D149/F149</f>
        <v>3.91411275868962</v>
      </c>
      <c r="G148" s="7" t="n">
        <f aca="false">$D149/G149</f>
        <v>6.66605429563068</v>
      </c>
      <c r="H148" s="7" t="n">
        <f aca="false">$D149/H149</f>
        <v>7.09715419581482</v>
      </c>
      <c r="I148" s="7" t="n">
        <f aca="false">$D149/I149</f>
        <v>7.65275921996035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38"/>
    </row>
    <row r="149" customFormat="false" ht="14.25" hidden="false" customHeight="false" outlineLevel="0" collapsed="false">
      <c r="B149" s="36"/>
      <c r="C149" s="7" t="s">
        <v>53</v>
      </c>
      <c r="D149" s="7" t="n">
        <f aca="false">'Información completa'!M107</f>
        <v>3505178</v>
      </c>
      <c r="E149" s="7" t="n">
        <f aca="false">'Información completa'!N107</f>
        <v>1754005</v>
      </c>
      <c r="F149" s="7" t="n">
        <f aca="false">'Información completa'!O107</f>
        <v>895523</v>
      </c>
      <c r="G149" s="7" t="n">
        <f aca="false">'Información completa'!P107</f>
        <v>525825</v>
      </c>
      <c r="H149" s="7" t="n">
        <f aca="false">'Información completa'!Q107</f>
        <v>493885</v>
      </c>
      <c r="I149" s="7" t="n">
        <f aca="false">'Información completa'!R107</f>
        <v>458028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38"/>
    </row>
    <row r="150" customFormat="false" ht="14.25" hidden="false" customHeight="false" outlineLevel="0" collapsed="false">
      <c r="B150" s="36"/>
      <c r="C150" s="15" t="s">
        <v>48</v>
      </c>
      <c r="D150" s="15" t="s">
        <v>2</v>
      </c>
      <c r="E150" s="15" t="s">
        <v>3</v>
      </c>
      <c r="F150" s="15" t="s">
        <v>4</v>
      </c>
      <c r="G150" s="15" t="s">
        <v>5</v>
      </c>
      <c r="H150" s="15" t="s">
        <v>6</v>
      </c>
      <c r="I150" s="15" t="s">
        <v>7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38"/>
    </row>
    <row r="151" customFormat="false" ht="14.25" hidden="false" customHeight="false" outlineLevel="0" collapsed="false">
      <c r="B151" s="36"/>
      <c r="C151" s="7" t="s">
        <v>56</v>
      </c>
      <c r="D151" s="7" t="n">
        <v>1</v>
      </c>
      <c r="E151" s="7" t="n">
        <f aca="false">$D152/E152</f>
        <v>1.96507897979187</v>
      </c>
      <c r="F151" s="7" t="n">
        <f aca="false">$D152/F152</f>
        <v>3.91562458865342</v>
      </c>
      <c r="G151" s="7" t="n">
        <f aca="false">$D152/G152</f>
        <v>5.64748746905394</v>
      </c>
      <c r="H151" s="7" t="n">
        <f aca="false">$D152/H152</f>
        <v>6.48780257255839</v>
      </c>
      <c r="I151" s="7" t="n">
        <f aca="false">$D152/I152</f>
        <v>6.66785661649543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38"/>
    </row>
    <row r="152" customFormat="false" ht="14.25" hidden="false" customHeight="false" outlineLevel="0" collapsed="false">
      <c r="B152" s="36"/>
      <c r="C152" s="7" t="s">
        <v>57</v>
      </c>
      <c r="D152" s="7" t="n">
        <f aca="false">'Información completa'!U107</f>
        <v>14070331</v>
      </c>
      <c r="E152" s="7" t="n">
        <f aca="false">'Información completa'!V107</f>
        <v>7160186</v>
      </c>
      <c r="F152" s="7" t="n">
        <f aca="false">'Información completa'!W107</f>
        <v>3593381</v>
      </c>
      <c r="G152" s="7" t="n">
        <f aca="false">'Información completa'!X107</f>
        <v>2491432</v>
      </c>
      <c r="H152" s="7" t="n">
        <f aca="false">'Información completa'!Y107</f>
        <v>2168736</v>
      </c>
      <c r="I152" s="7" t="n">
        <f aca="false">'Información completa'!Z107</f>
        <v>2110173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38"/>
    </row>
    <row r="153" customFormat="false" ht="14.25" hidden="false" customHeight="false" outlineLevel="0" collapsed="false">
      <c r="B153" s="36"/>
      <c r="C153" s="15" t="s">
        <v>48</v>
      </c>
      <c r="D153" s="15" t="s">
        <v>2</v>
      </c>
      <c r="E153" s="15" t="s">
        <v>3</v>
      </c>
      <c r="F153" s="15" t="s">
        <v>4</v>
      </c>
      <c r="G153" s="15" t="s">
        <v>5</v>
      </c>
      <c r="H153" s="15" t="s">
        <v>6</v>
      </c>
      <c r="I153" s="15" t="s">
        <v>7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38"/>
    </row>
    <row r="154" customFormat="false" ht="14.25" hidden="false" customHeight="false" outlineLevel="0" collapsed="false">
      <c r="B154" s="36"/>
      <c r="C154" s="7" t="s">
        <v>59</v>
      </c>
      <c r="D154" s="7" t="n">
        <v>1</v>
      </c>
      <c r="E154" s="7" t="n">
        <f aca="false">$D155/E155</f>
        <v>2.00747187886416</v>
      </c>
      <c r="F154" s="7" t="n">
        <f aca="false">$D155/F155</f>
        <v>4.08325517502792</v>
      </c>
      <c r="G154" s="7" t="n">
        <f aca="false">$D155/G155</f>
        <v>5.88543006091263</v>
      </c>
      <c r="H154" s="7" t="n">
        <f aca="false">$D155/H155</f>
        <v>6.46890797854567</v>
      </c>
      <c r="I154" s="7" t="n">
        <f aca="false">$D155/I155</f>
        <v>6.66314426880815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38"/>
    </row>
    <row r="155" customFormat="false" ht="14.25" hidden="false" customHeight="false" outlineLevel="0" collapsed="false">
      <c r="B155" s="36"/>
      <c r="C155" s="7" t="s">
        <v>60</v>
      </c>
      <c r="D155" s="7" t="n">
        <f aca="false">'Información completa'!AC107</f>
        <v>112980694</v>
      </c>
      <c r="E155" s="7" t="n">
        <f aca="false">'Información completa'!AD107</f>
        <v>56280088</v>
      </c>
      <c r="F155" s="7" t="n">
        <f aca="false">'Información completa'!AE107</f>
        <v>27669271</v>
      </c>
      <c r="G155" s="7" t="n">
        <f aca="false">'Información completa'!AF107</f>
        <v>19196676</v>
      </c>
      <c r="H155" s="7" t="n">
        <f aca="false">'Información completa'!AG107</f>
        <v>17465188</v>
      </c>
      <c r="I155" s="7" t="n">
        <f aca="false">'Información completa'!AH107</f>
        <v>16956063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38"/>
    </row>
    <row r="156" customFormat="false" ht="14.25" hidden="false" customHeight="false" outlineLevel="0" collapsed="false">
      <c r="B156" s="3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38"/>
    </row>
    <row r="157" customFormat="false" ht="14.25" hidden="false" customHeight="false" outlineLevel="0" collapsed="false">
      <c r="B157" s="3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38"/>
    </row>
    <row r="158" customFormat="false" ht="14.25" hidden="false" customHeight="false" outlineLevel="0" collapsed="false">
      <c r="B158" s="3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38"/>
    </row>
    <row r="159" customFormat="false" ht="14.25" hidden="false" customHeight="false" outlineLevel="0" collapsed="false">
      <c r="B159" s="3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38"/>
    </row>
    <row r="160" customFormat="false" ht="14.25" hidden="false" customHeight="false" outlineLevel="0" collapsed="false">
      <c r="B160" s="3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38"/>
    </row>
    <row r="161" customFormat="false" ht="14.25" hidden="false" customHeight="false" outlineLevel="0" collapsed="false">
      <c r="B161" s="3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38"/>
    </row>
    <row r="162" customFormat="false" ht="14.25" hidden="false" customHeight="false" outlineLevel="0" collapsed="false">
      <c r="B162" s="3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38"/>
    </row>
    <row r="163" customFormat="false" ht="14.25" hidden="false" customHeight="false" outlineLevel="0" collapsed="false">
      <c r="B163" s="3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38"/>
    </row>
    <row r="164" customFormat="false" ht="14.25" hidden="false" customHeight="false" outlineLevel="0" collapsed="false">
      <c r="B164" s="3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38"/>
    </row>
    <row r="165" customFormat="false" ht="14.25" hidden="false" customHeight="false" outlineLevel="0" collapsed="false">
      <c r="B165" s="3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38"/>
    </row>
    <row r="166" customFormat="false" ht="14.25" hidden="false" customHeight="false" outlineLevel="0" collapsed="false">
      <c r="B166" s="3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38"/>
    </row>
    <row r="167" customFormat="false" ht="14.25" hidden="false" customHeight="false" outlineLevel="0" collapsed="false">
      <c r="B167" s="3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38"/>
    </row>
    <row r="168" customFormat="false" ht="14.25" hidden="false" customHeight="false" outlineLevel="0" collapsed="false">
      <c r="B168" s="3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38"/>
    </row>
    <row r="169" customFormat="false" ht="14.25" hidden="false" customHeight="false" outlineLevel="0" collapsed="false">
      <c r="B169" s="3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38"/>
    </row>
    <row r="170" customFormat="false" ht="14.25" hidden="false" customHeight="false" outlineLevel="0" collapsed="false">
      <c r="B170" s="3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38"/>
    </row>
    <row r="171" customFormat="false" ht="14.25" hidden="false" customHeight="false" outlineLevel="0" collapsed="false">
      <c r="B171" s="3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38"/>
    </row>
    <row r="172" customFormat="false" ht="14.25" hidden="false" customHeight="false" outlineLevel="0" collapsed="false">
      <c r="B172" s="3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38"/>
    </row>
    <row r="173" customFormat="false" ht="14.25" hidden="false" customHeight="false" outlineLevel="0" collapsed="false">
      <c r="B173" s="3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38"/>
    </row>
    <row r="174" customFormat="false" ht="14.25" hidden="false" customHeight="false" outlineLevel="0" collapsed="false">
      <c r="B174" s="3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38"/>
    </row>
    <row r="175" customFormat="false" ht="14.25" hidden="false" customHeight="false" outlineLevel="0" collapsed="false">
      <c r="B175" s="3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38"/>
    </row>
    <row r="176" customFormat="false" ht="14.25" hidden="false" customHeight="false" outlineLevel="0" collapsed="false">
      <c r="B176" s="3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38"/>
    </row>
    <row r="177" customFormat="false" ht="14.25" hidden="false" customHeight="false" outlineLevel="0" collapsed="false">
      <c r="B177" s="3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38"/>
    </row>
    <row r="178" customFormat="false" ht="14.25" hidden="false" customHeight="false" outlineLevel="0" collapsed="false">
      <c r="B178" s="3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38"/>
    </row>
    <row r="179" customFormat="false" ht="14.25" hidden="false" customHeight="false" outlineLevel="0" collapsed="false">
      <c r="B179" s="3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38"/>
    </row>
    <row r="180" customFormat="false" ht="14.25" hidden="false" customHeight="false" outlineLevel="0" collapsed="false">
      <c r="B180" s="3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38"/>
    </row>
    <row r="181" customFormat="false" ht="14.25" hidden="false" customHeight="false" outlineLevel="0" collapsed="false">
      <c r="B181" s="3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38"/>
    </row>
    <row r="182" customFormat="false" ht="14.25" hidden="false" customHeight="false" outlineLevel="0" collapsed="false">
      <c r="B182" s="3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38"/>
    </row>
    <row r="183" customFormat="false" ht="14.25" hidden="false" customHeight="false" outlineLevel="0" collapsed="false">
      <c r="B183" s="3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38"/>
    </row>
    <row r="184" customFormat="false" ht="14.25" hidden="false" customHeight="false" outlineLevel="0" collapsed="false">
      <c r="B184" s="3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38"/>
    </row>
    <row r="185" customFormat="false" ht="14.25" hidden="false" customHeight="false" outlineLevel="0" collapsed="false">
      <c r="B185" s="3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38"/>
    </row>
    <row r="186" customFormat="false" ht="14.25" hidden="false" customHeight="false" outlineLevel="0" collapsed="false">
      <c r="B186" s="3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38"/>
    </row>
    <row r="187" customFormat="false" ht="14.25" hidden="false" customHeight="false" outlineLevel="0" collapsed="false">
      <c r="B187" s="3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38"/>
    </row>
    <row r="188" customFormat="false" ht="14.25" hidden="false" customHeight="false" outlineLevel="0" collapsed="false">
      <c r="B188" s="3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38"/>
    </row>
    <row r="189" customFormat="false" ht="14.25" hidden="false" customHeight="false" outlineLevel="0" collapsed="false">
      <c r="B189" s="3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38"/>
    </row>
    <row r="190" customFormat="false" ht="14.25" hidden="false" customHeight="false" outlineLevel="0" collapsed="false">
      <c r="B190" s="3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38"/>
    </row>
    <row r="191" customFormat="false" ht="14.25" hidden="false" customHeight="false" outlineLevel="0" collapsed="false">
      <c r="B191" s="3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38"/>
    </row>
    <row r="192" customFormat="false" ht="14.25" hidden="false" customHeight="false" outlineLevel="0" collapsed="false">
      <c r="B192" s="3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38"/>
    </row>
    <row r="193" customFormat="false" ht="14.25" hidden="false" customHeight="false" outlineLevel="0" collapsed="false">
      <c r="B193" s="3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38"/>
    </row>
    <row r="194" customFormat="false" ht="14.25" hidden="false" customHeight="false" outlineLevel="0" collapsed="false">
      <c r="B194" s="3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38"/>
    </row>
    <row r="195" customFormat="false" ht="14.25" hidden="false" customHeight="false" outlineLevel="0" collapsed="false">
      <c r="B195" s="3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38"/>
    </row>
    <row r="196" customFormat="false" ht="14.25" hidden="false" customHeight="false" outlineLevel="0" collapsed="false">
      <c r="B196" s="3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38"/>
    </row>
    <row r="197" customFormat="false" ht="14.25" hidden="false" customHeight="false" outlineLevel="0" collapsed="false">
      <c r="B197" s="3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38"/>
    </row>
    <row r="198" customFormat="false" ht="14.25" hidden="false" customHeight="false" outlineLevel="0" collapsed="false">
      <c r="B198" s="3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38"/>
    </row>
    <row r="199" customFormat="false" ht="14.25" hidden="false" customHeight="false" outlineLevel="0" collapsed="false">
      <c r="B199" s="3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38"/>
    </row>
    <row r="200" customFormat="false" ht="14.25" hidden="false" customHeight="false" outlineLevel="0" collapsed="false">
      <c r="B200" s="3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38"/>
    </row>
    <row r="201" customFormat="false" ht="14.25" hidden="false" customHeight="false" outlineLevel="0" collapsed="false">
      <c r="B201" s="3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38"/>
    </row>
    <row r="202" customFormat="false" ht="14.25" hidden="false" customHeight="false" outlineLevel="0" collapsed="false">
      <c r="B202" s="3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38"/>
    </row>
    <row r="203" customFormat="false" ht="14.25" hidden="false" customHeight="false" outlineLevel="0" collapsed="false">
      <c r="B203" s="3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38"/>
    </row>
    <row r="204" customFormat="false" ht="14.25" hidden="false" customHeight="false" outlineLevel="0" collapsed="false">
      <c r="B204" s="3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38"/>
    </row>
    <row r="205" customFormat="false" ht="14.25" hidden="false" customHeight="false" outlineLevel="0" collapsed="false">
      <c r="B205" s="3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38"/>
    </row>
    <row r="206" customFormat="false" ht="30" hidden="false" customHeight="true" outlineLevel="0" collapsed="false">
      <c r="B206" s="41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3"/>
    </row>
    <row r="210" customFormat="false" ht="14.25" hidden="false" customHeight="false" outlineLevel="0" collapsed="false">
      <c r="B210" s="33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5"/>
    </row>
    <row r="211" customFormat="false" ht="33.85" hidden="false" customHeight="false" outlineLevel="0" collapsed="false">
      <c r="B211" s="36"/>
      <c r="C211" s="37" t="s">
        <v>62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38"/>
    </row>
    <row r="212" customFormat="false" ht="14.25" hidden="false" customHeight="false" outlineLevel="0" collapsed="false">
      <c r="B212" s="36"/>
      <c r="C212" s="15" t="s">
        <v>48</v>
      </c>
      <c r="D212" s="15" t="s">
        <v>2</v>
      </c>
      <c r="E212" s="15" t="s">
        <v>3</v>
      </c>
      <c r="F212" s="15" t="s">
        <v>4</v>
      </c>
      <c r="G212" s="15" t="s">
        <v>5</v>
      </c>
      <c r="H212" s="15" t="s">
        <v>6</v>
      </c>
      <c r="I212" s="15" t="s">
        <v>7</v>
      </c>
      <c r="J212" s="7"/>
      <c r="K212" s="39" t="s">
        <v>48</v>
      </c>
      <c r="L212" s="39"/>
      <c r="M212" s="15" t="s">
        <v>2</v>
      </c>
      <c r="N212" s="15" t="s">
        <v>3</v>
      </c>
      <c r="O212" s="15" t="s">
        <v>4</v>
      </c>
      <c r="P212" s="15" t="s">
        <v>5</v>
      </c>
      <c r="Q212" s="15" t="s">
        <v>6</v>
      </c>
      <c r="R212" s="15" t="s">
        <v>7</v>
      </c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38"/>
    </row>
    <row r="213" customFormat="false" ht="14.25" hidden="false" customHeight="false" outlineLevel="0" collapsed="false">
      <c r="B213" s="36"/>
      <c r="C213" s="7" t="s">
        <v>49</v>
      </c>
      <c r="D213" s="7" t="n">
        <v>1</v>
      </c>
      <c r="E213" s="7" t="n">
        <f aca="false">$D214/E214</f>
        <v>1.55724740033607</v>
      </c>
      <c r="F213" s="7" t="n">
        <f aca="false">$D214/F214</f>
        <v>2.52182357754838</v>
      </c>
      <c r="G213" s="7" t="n">
        <f aca="false">$D214/G214</f>
        <v>3.20680273814598</v>
      </c>
      <c r="H213" s="7" t="n">
        <f aca="false">$D214/H214</f>
        <v>3.4833785016819</v>
      </c>
      <c r="I213" s="7" t="n">
        <f aca="false">$D214/I214</f>
        <v>3.78704786722139</v>
      </c>
      <c r="J213" s="7"/>
      <c r="K213" s="40" t="s">
        <v>50</v>
      </c>
      <c r="L213" s="40"/>
      <c r="M213" s="7" t="n">
        <f aca="false">(D213+D216+D219+D222)/4</f>
        <v>1</v>
      </c>
      <c r="N213" s="7" t="n">
        <f aca="false">(E213+E216+E219+E222)/4</f>
        <v>1.78937194380115</v>
      </c>
      <c r="O213" s="7" t="n">
        <f aca="false">(F213+F216+F219+F222)/4</f>
        <v>3.31873572666658</v>
      </c>
      <c r="P213" s="7" t="n">
        <f aca="false">(G213+G216+G219+G222)/4</f>
        <v>4.59787326936798</v>
      </c>
      <c r="Q213" s="7" t="n">
        <f aca="false">(H213+H216+H219+H222)/4</f>
        <v>5.14133513711832</v>
      </c>
      <c r="R213" s="7" t="n">
        <f aca="false">(I213+I216+I219+I222)/4</f>
        <v>5.29451786770728</v>
      </c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38"/>
    </row>
    <row r="214" customFormat="false" ht="14.25" hidden="false" customHeight="false" outlineLevel="0" collapsed="false">
      <c r="B214" s="36"/>
      <c r="C214" s="7" t="s">
        <v>51</v>
      </c>
      <c r="D214" s="7" t="n">
        <f aca="false">'Información completa'!E143</f>
        <v>255781</v>
      </c>
      <c r="E214" s="7" t="n">
        <f aca="false">'Información completa'!F143</f>
        <v>164252</v>
      </c>
      <c r="F214" s="7" t="n">
        <f aca="false">'Información completa'!G143</f>
        <v>101427</v>
      </c>
      <c r="G214" s="7" t="n">
        <f aca="false">'Información completa'!H143</f>
        <v>79762</v>
      </c>
      <c r="H214" s="7" t="n">
        <f aca="false">'Información completa'!I143</f>
        <v>73429</v>
      </c>
      <c r="I214" s="7" t="n">
        <f aca="false">'Información completa'!J143</f>
        <v>67541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38"/>
    </row>
    <row r="215" customFormat="false" ht="14.25" hidden="false" customHeight="false" outlineLevel="0" collapsed="false">
      <c r="B215" s="36"/>
      <c r="C215" s="15" t="s">
        <v>48</v>
      </c>
      <c r="D215" s="15" t="s">
        <v>2</v>
      </c>
      <c r="E215" s="15" t="s">
        <v>3</v>
      </c>
      <c r="F215" s="15" t="s">
        <v>4</v>
      </c>
      <c r="G215" s="15" t="s">
        <v>5</v>
      </c>
      <c r="H215" s="15" t="s">
        <v>6</v>
      </c>
      <c r="I215" s="15" t="s">
        <v>7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38"/>
    </row>
    <row r="216" customFormat="false" ht="14.25" hidden="false" customHeight="false" outlineLevel="0" collapsed="false">
      <c r="B216" s="36"/>
      <c r="C216" s="7" t="s">
        <v>52</v>
      </c>
      <c r="D216" s="7" t="n">
        <v>1</v>
      </c>
      <c r="E216" s="7" t="n">
        <f aca="false">$D217/E217</f>
        <v>1.8219332062181</v>
      </c>
      <c r="F216" s="7" t="n">
        <f aca="false">$D217/F217</f>
        <v>3.4696900023785</v>
      </c>
      <c r="G216" s="7" t="n">
        <f aca="false">$D217/G217</f>
        <v>4.70573307992763</v>
      </c>
      <c r="H216" s="7" t="n">
        <f aca="false">$D217/H217</f>
        <v>5.13438649389046</v>
      </c>
      <c r="I216" s="7" t="n">
        <f aca="false">$D217/I217</f>
        <v>5.36137969476918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38"/>
    </row>
    <row r="217" customFormat="false" ht="14.25" hidden="false" customHeight="false" outlineLevel="0" collapsed="false">
      <c r="B217" s="36"/>
      <c r="C217" s="7" t="s">
        <v>53</v>
      </c>
      <c r="D217" s="7" t="n">
        <f aca="false">'Información completa'!M143</f>
        <v>1750528</v>
      </c>
      <c r="E217" s="7" t="n">
        <f aca="false">'Información completa'!N143</f>
        <v>960808</v>
      </c>
      <c r="F217" s="7" t="n">
        <f aca="false">'Información completa'!O143</f>
        <v>504520</v>
      </c>
      <c r="G217" s="7" t="n">
        <f aca="false">'Información completa'!P143</f>
        <v>371999</v>
      </c>
      <c r="H217" s="7" t="n">
        <f aca="false">'Información completa'!Q143</f>
        <v>340942</v>
      </c>
      <c r="I217" s="7" t="n">
        <f aca="false">'Información completa'!R143</f>
        <v>326507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38"/>
    </row>
    <row r="218" customFormat="false" ht="14.25" hidden="false" customHeight="false" outlineLevel="0" collapsed="false">
      <c r="B218" s="36"/>
      <c r="C218" s="15" t="s">
        <v>48</v>
      </c>
      <c r="D218" s="15" t="s">
        <v>2</v>
      </c>
      <c r="E218" s="15" t="s">
        <v>3</v>
      </c>
      <c r="F218" s="15" t="s">
        <v>4</v>
      </c>
      <c r="G218" s="15" t="s">
        <v>5</v>
      </c>
      <c r="H218" s="15" t="s">
        <v>6</v>
      </c>
      <c r="I218" s="15" t="s">
        <v>7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38"/>
    </row>
    <row r="219" customFormat="false" ht="14.25" hidden="false" customHeight="false" outlineLevel="0" collapsed="false">
      <c r="B219" s="36"/>
      <c r="C219" s="7" t="s">
        <v>56</v>
      </c>
      <c r="D219" s="7" t="n">
        <v>1</v>
      </c>
      <c r="E219" s="7" t="n">
        <f aca="false">$D220/E220</f>
        <v>1.88735425443264</v>
      </c>
      <c r="F219" s="7" t="n">
        <f aca="false">$D220/F220</f>
        <v>3.59664168053523</v>
      </c>
      <c r="G219" s="7" t="n">
        <f aca="false">$D220/G220</f>
        <v>4.98226163889514</v>
      </c>
      <c r="H219" s="7" t="n">
        <f aca="false">$D220/H220</f>
        <v>5.77876919339938</v>
      </c>
      <c r="I219" s="7" t="n">
        <f aca="false">$D220/I220</f>
        <v>5.84203338452589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38"/>
    </row>
    <row r="220" customFormat="false" ht="14.25" hidden="false" customHeight="false" outlineLevel="0" collapsed="false">
      <c r="B220" s="36"/>
      <c r="C220" s="7" t="s">
        <v>57</v>
      </c>
      <c r="D220" s="7" t="n">
        <f aca="false">'Información completa'!U143</f>
        <v>5804843</v>
      </c>
      <c r="E220" s="7" t="n">
        <f aca="false">'Información completa'!V143</f>
        <v>3075651</v>
      </c>
      <c r="F220" s="7" t="n">
        <f aca="false">'Información completa'!W143</f>
        <v>1613962</v>
      </c>
      <c r="G220" s="7" t="n">
        <f aca="false">'Información completa'!X143</f>
        <v>1165102</v>
      </c>
      <c r="H220" s="7" t="n">
        <f aca="false">'Información completa'!Y143</f>
        <v>1004512</v>
      </c>
      <c r="I220" s="7" t="n">
        <f aca="false">'Información completa'!Z143</f>
        <v>993634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38"/>
    </row>
    <row r="221" customFormat="false" ht="14.25" hidden="false" customHeight="false" outlineLevel="0" collapsed="false">
      <c r="B221" s="36"/>
      <c r="C221" s="15" t="s">
        <v>48</v>
      </c>
      <c r="D221" s="15" t="s">
        <v>2</v>
      </c>
      <c r="E221" s="15" t="s">
        <v>3</v>
      </c>
      <c r="F221" s="15" t="s">
        <v>4</v>
      </c>
      <c r="G221" s="15" t="s">
        <v>5</v>
      </c>
      <c r="H221" s="15" t="s">
        <v>6</v>
      </c>
      <c r="I221" s="15" t="s">
        <v>7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38"/>
    </row>
    <row r="222" customFormat="false" ht="14.25" hidden="false" customHeight="false" outlineLevel="0" collapsed="false">
      <c r="B222" s="36"/>
      <c r="C222" s="7" t="s">
        <v>59</v>
      </c>
      <c r="D222" s="7" t="n">
        <v>1</v>
      </c>
      <c r="E222" s="7" t="n">
        <f aca="false">$D223/E223</f>
        <v>1.89095291421779</v>
      </c>
      <c r="F222" s="7" t="n">
        <f aca="false">$D223/F223</f>
        <v>3.68678764620422</v>
      </c>
      <c r="G222" s="7" t="n">
        <f aca="false">$D223/G223</f>
        <v>5.49669562050316</v>
      </c>
      <c r="H222" s="7" t="n">
        <f aca="false">$D223/H223</f>
        <v>6.16880635950156</v>
      </c>
      <c r="I222" s="7" t="n">
        <f aca="false">$D223/I223</f>
        <v>6.18761052431264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38"/>
    </row>
    <row r="223" customFormat="false" ht="14.25" hidden="false" customHeight="false" outlineLevel="0" collapsed="false">
      <c r="B223" s="36"/>
      <c r="C223" s="7" t="s">
        <v>60</v>
      </c>
      <c r="D223" s="7" t="n">
        <f aca="false">'Información completa'!AC143</f>
        <v>15997473</v>
      </c>
      <c r="E223" s="7" t="n">
        <f aca="false">'Información completa'!AD143</f>
        <v>8460006</v>
      </c>
      <c r="F223" s="7" t="n">
        <f aca="false">'Información completa'!AE143</f>
        <v>4339136</v>
      </c>
      <c r="G223" s="7" t="n">
        <f aca="false">'Información completa'!AF143</f>
        <v>2910380</v>
      </c>
      <c r="H223" s="7" t="n">
        <f aca="false">'Información completa'!AG143</f>
        <v>2593285</v>
      </c>
      <c r="I223" s="7" t="n">
        <f aca="false">'Información completa'!AH143</f>
        <v>2585404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38"/>
    </row>
    <row r="224" customFormat="false" ht="14.25" hidden="false" customHeight="false" outlineLevel="0" collapsed="false">
      <c r="B224" s="3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38"/>
    </row>
    <row r="225" customFormat="false" ht="14.25" hidden="false" customHeight="false" outlineLevel="0" collapsed="false">
      <c r="B225" s="3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38"/>
    </row>
    <row r="226" customFormat="false" ht="14.25" hidden="false" customHeight="false" outlineLevel="0" collapsed="false">
      <c r="B226" s="3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38"/>
    </row>
    <row r="227" customFormat="false" ht="14.25" hidden="false" customHeight="false" outlineLevel="0" collapsed="false">
      <c r="B227" s="3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38"/>
    </row>
    <row r="228" customFormat="false" ht="14.25" hidden="false" customHeight="false" outlineLevel="0" collapsed="false">
      <c r="B228" s="3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38"/>
    </row>
    <row r="229" customFormat="false" ht="14.25" hidden="false" customHeight="false" outlineLevel="0" collapsed="false">
      <c r="B229" s="3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38"/>
    </row>
    <row r="230" customFormat="false" ht="14.25" hidden="false" customHeight="false" outlineLevel="0" collapsed="false">
      <c r="B230" s="3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38"/>
    </row>
    <row r="231" customFormat="false" ht="14.25" hidden="false" customHeight="false" outlineLevel="0" collapsed="false">
      <c r="B231" s="3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38"/>
    </row>
    <row r="232" customFormat="false" ht="14.25" hidden="false" customHeight="false" outlineLevel="0" collapsed="false">
      <c r="B232" s="3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38"/>
    </row>
    <row r="233" customFormat="false" ht="14.25" hidden="false" customHeight="false" outlineLevel="0" collapsed="false">
      <c r="B233" s="3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38"/>
    </row>
    <row r="234" customFormat="false" ht="14.25" hidden="false" customHeight="false" outlineLevel="0" collapsed="false">
      <c r="B234" s="3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38"/>
    </row>
    <row r="235" customFormat="false" ht="14.25" hidden="false" customHeight="false" outlineLevel="0" collapsed="false">
      <c r="B235" s="3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38"/>
    </row>
    <row r="236" customFormat="false" ht="14.25" hidden="false" customHeight="false" outlineLevel="0" collapsed="false">
      <c r="B236" s="3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38"/>
    </row>
    <row r="237" customFormat="false" ht="14.25" hidden="false" customHeight="false" outlineLevel="0" collapsed="false">
      <c r="B237" s="3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38"/>
    </row>
    <row r="238" customFormat="false" ht="14.25" hidden="false" customHeight="false" outlineLevel="0" collapsed="false">
      <c r="B238" s="3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38"/>
    </row>
    <row r="239" customFormat="false" ht="14.25" hidden="false" customHeight="false" outlineLevel="0" collapsed="false">
      <c r="B239" s="3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38"/>
    </row>
    <row r="240" customFormat="false" ht="14.25" hidden="false" customHeight="false" outlineLevel="0" collapsed="false">
      <c r="B240" s="3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38"/>
    </row>
    <row r="241" customFormat="false" ht="14.25" hidden="false" customHeight="false" outlineLevel="0" collapsed="false">
      <c r="B241" s="3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38"/>
    </row>
    <row r="242" customFormat="false" ht="14.25" hidden="false" customHeight="false" outlineLevel="0" collapsed="false">
      <c r="B242" s="3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38"/>
    </row>
    <row r="243" customFormat="false" ht="14.25" hidden="false" customHeight="false" outlineLevel="0" collapsed="false">
      <c r="B243" s="3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38"/>
    </row>
    <row r="244" customFormat="false" ht="14.25" hidden="false" customHeight="false" outlineLevel="0" collapsed="false">
      <c r="B244" s="3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38"/>
    </row>
    <row r="245" customFormat="false" ht="14.25" hidden="false" customHeight="false" outlineLevel="0" collapsed="false">
      <c r="B245" s="3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38"/>
    </row>
    <row r="246" customFormat="false" ht="14.25" hidden="false" customHeight="false" outlineLevel="0" collapsed="false">
      <c r="B246" s="3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38"/>
    </row>
    <row r="247" customFormat="false" ht="14.25" hidden="false" customHeight="false" outlineLevel="0" collapsed="false">
      <c r="B247" s="3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38"/>
    </row>
    <row r="248" customFormat="false" ht="14.25" hidden="false" customHeight="false" outlineLevel="0" collapsed="false">
      <c r="B248" s="3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38"/>
    </row>
    <row r="249" customFormat="false" ht="14.25" hidden="false" customHeight="false" outlineLevel="0" collapsed="false">
      <c r="B249" s="3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38"/>
    </row>
    <row r="250" customFormat="false" ht="14.25" hidden="false" customHeight="false" outlineLevel="0" collapsed="false">
      <c r="B250" s="3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38"/>
    </row>
    <row r="251" customFormat="false" ht="14.25" hidden="false" customHeight="false" outlineLevel="0" collapsed="false">
      <c r="B251" s="3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38"/>
    </row>
    <row r="252" customFormat="false" ht="14.25" hidden="false" customHeight="false" outlineLevel="0" collapsed="false">
      <c r="B252" s="3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38"/>
    </row>
    <row r="253" customFormat="false" ht="14.25" hidden="false" customHeight="false" outlineLevel="0" collapsed="false">
      <c r="B253" s="3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38"/>
    </row>
    <row r="254" customFormat="false" ht="14.25" hidden="false" customHeight="false" outlineLevel="0" collapsed="false">
      <c r="B254" s="3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38"/>
    </row>
    <row r="255" customFormat="false" ht="14.25" hidden="false" customHeight="false" outlineLevel="0" collapsed="false">
      <c r="B255" s="3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38"/>
    </row>
    <row r="256" customFormat="false" ht="14.25" hidden="false" customHeight="false" outlineLevel="0" collapsed="false">
      <c r="B256" s="3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38"/>
    </row>
    <row r="257" customFormat="false" ht="14.25" hidden="false" customHeight="false" outlineLevel="0" collapsed="false">
      <c r="B257" s="3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38"/>
    </row>
    <row r="258" customFormat="false" ht="14.25" hidden="false" customHeight="false" outlineLevel="0" collapsed="false">
      <c r="B258" s="3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38"/>
    </row>
    <row r="259" customFormat="false" ht="14.25" hidden="false" customHeight="false" outlineLevel="0" collapsed="false">
      <c r="B259" s="3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38"/>
    </row>
    <row r="260" customFormat="false" ht="14.25" hidden="false" customHeight="false" outlineLevel="0" collapsed="false">
      <c r="B260" s="3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38"/>
    </row>
    <row r="261" customFormat="false" ht="14.25" hidden="false" customHeight="false" outlineLevel="0" collapsed="false">
      <c r="B261" s="3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38"/>
    </row>
    <row r="262" customFormat="false" ht="14.25" hidden="false" customHeight="false" outlineLevel="0" collapsed="false">
      <c r="B262" s="3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38"/>
    </row>
    <row r="263" customFormat="false" ht="14.25" hidden="false" customHeight="false" outlineLevel="0" collapsed="false">
      <c r="B263" s="3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38"/>
    </row>
    <row r="264" customFormat="false" ht="14.25" hidden="false" customHeight="false" outlineLevel="0" collapsed="false">
      <c r="B264" s="3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38"/>
    </row>
    <row r="265" customFormat="false" ht="14.25" hidden="false" customHeight="false" outlineLevel="0" collapsed="false">
      <c r="B265" s="3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38"/>
    </row>
    <row r="266" customFormat="false" ht="14.25" hidden="false" customHeight="false" outlineLevel="0" collapsed="false">
      <c r="B266" s="3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38"/>
    </row>
    <row r="267" customFormat="false" ht="14.25" hidden="false" customHeight="false" outlineLevel="0" collapsed="false">
      <c r="B267" s="3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38"/>
    </row>
    <row r="268" customFormat="false" ht="14.25" hidden="false" customHeight="false" outlineLevel="0" collapsed="false">
      <c r="B268" s="3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38"/>
    </row>
    <row r="269" customFormat="false" ht="14.25" hidden="false" customHeight="false" outlineLevel="0" collapsed="false">
      <c r="B269" s="3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38"/>
    </row>
    <row r="270" customFormat="false" ht="14.25" hidden="false" customHeight="false" outlineLevel="0" collapsed="false">
      <c r="B270" s="3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38"/>
    </row>
    <row r="271" customFormat="false" ht="14.25" hidden="false" customHeight="false" outlineLevel="0" collapsed="false">
      <c r="B271" s="3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38"/>
    </row>
    <row r="272" customFormat="false" ht="14.25" hidden="false" customHeight="false" outlineLevel="0" collapsed="false">
      <c r="B272" s="3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38"/>
    </row>
    <row r="273" customFormat="false" ht="14.25" hidden="false" customHeight="false" outlineLevel="0" collapsed="false">
      <c r="B273" s="3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38"/>
    </row>
    <row r="274" customFormat="false" ht="28.5" hidden="false" customHeight="true" outlineLevel="0" collapsed="false">
      <c r="B274" s="41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3"/>
    </row>
  </sheetData>
  <mergeCells count="8">
    <mergeCell ref="K8:L8"/>
    <mergeCell ref="K9:L9"/>
    <mergeCell ref="K76:L76"/>
    <mergeCell ref="K77:L77"/>
    <mergeCell ref="K144:L144"/>
    <mergeCell ref="K145:L145"/>
    <mergeCell ref="K212:L212"/>
    <mergeCell ref="K213:L2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O152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A122" activeCellId="0" sqref="AA122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2.78"/>
    <col collapsed="false" customWidth="true" hidden="false" outlineLevel="0" max="3" min="3" style="0" width="19.89"/>
    <col collapsed="false" customWidth="true" hidden="false" outlineLevel="0" max="4" min="4" style="0" width="21.78"/>
    <col collapsed="false" customWidth="true" hidden="false" outlineLevel="0" max="15" min="15" style="0" width="2.78"/>
  </cols>
  <sheetData>
    <row r="3" customFormat="false" ht="14.25" hidden="false" customHeight="false" outlineLevel="0" collapsed="false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5"/>
    </row>
    <row r="4" customFormat="false" ht="33.85" hidden="false" customHeight="false" outlineLevel="0" collapsed="false">
      <c r="B4" s="36"/>
      <c r="C4" s="7"/>
      <c r="D4" s="37" t="s">
        <v>63</v>
      </c>
      <c r="E4" s="7"/>
      <c r="F4" s="7"/>
      <c r="G4" s="7"/>
      <c r="H4" s="7"/>
      <c r="I4" s="7"/>
      <c r="J4" s="7"/>
      <c r="K4" s="7"/>
      <c r="L4" s="7"/>
      <c r="M4" s="7"/>
      <c r="N4" s="7"/>
      <c r="O4" s="38"/>
    </row>
    <row r="5" customFormat="false" ht="14.25" hidden="false" customHeight="false" outlineLevel="0" collapsed="false">
      <c r="B5" s="36"/>
      <c r="C5" s="44"/>
      <c r="D5" s="15" t="str">
        <f aca="false" t="array" ref="D5:J5">'Gráficas SpeedUp'!C8:I8</f>
        <v># Hilos</v>
      </c>
      <c r="E5" s="15" t="str">
        <v>1 hilo</v>
      </c>
      <c r="F5" s="15" t="str">
        <v>2 hilos</v>
      </c>
      <c r="G5" s="15" t="str">
        <v>4 hilos</v>
      </c>
      <c r="H5" s="15" t="str">
        <v>8 hilos</v>
      </c>
      <c r="I5" s="15" t="str">
        <v>12 hilos</v>
      </c>
      <c r="J5" s="15" t="str">
        <v>32 hilos</v>
      </c>
      <c r="K5" s="7"/>
      <c r="L5" s="7"/>
      <c r="M5" s="7"/>
      <c r="N5" s="7"/>
      <c r="O5" s="38"/>
    </row>
    <row r="6" customFormat="false" ht="14.25" hidden="false" customHeight="true" outlineLevel="0" collapsed="false">
      <c r="B6" s="36"/>
      <c r="C6" s="45" t="s">
        <v>64</v>
      </c>
      <c r="D6" s="46" t="s">
        <v>47</v>
      </c>
      <c r="E6" s="7" t="n">
        <f aca="false" t="array" ref="E6:J6">'Gráficas SpeedUp'!D10:I10</f>
        <v>104680</v>
      </c>
      <c r="F6" s="7" t="n">
        <v>55872</v>
      </c>
      <c r="G6" s="7" t="n">
        <v>32364</v>
      </c>
      <c r="H6" s="7" t="n">
        <v>20691</v>
      </c>
      <c r="I6" s="7" t="n">
        <v>20620</v>
      </c>
      <c r="J6" s="7" t="n">
        <v>23785</v>
      </c>
      <c r="K6" s="7"/>
      <c r="L6" s="7"/>
      <c r="M6" s="7"/>
      <c r="N6" s="7"/>
      <c r="O6" s="38"/>
    </row>
    <row r="7" customFormat="false" ht="14.25" hidden="false" customHeight="false" outlineLevel="0" collapsed="false">
      <c r="B7" s="36"/>
      <c r="C7" s="45"/>
      <c r="D7" s="46" t="s">
        <v>65</v>
      </c>
      <c r="E7" s="7" t="n">
        <f aca="false" t="array" ref="E7:J7">'Gráficas SpeedUp'!D78:I78</f>
        <v>266951</v>
      </c>
      <c r="F7" s="7" t="n">
        <v>165855</v>
      </c>
      <c r="G7" s="7" t="n">
        <v>107265</v>
      </c>
      <c r="H7" s="7" t="n">
        <v>83671</v>
      </c>
      <c r="I7" s="7" t="n">
        <v>77300</v>
      </c>
      <c r="J7" s="7" t="n">
        <v>85127</v>
      </c>
      <c r="K7" s="7"/>
      <c r="L7" s="7"/>
      <c r="M7" s="7"/>
      <c r="N7" s="7"/>
      <c r="O7" s="38"/>
    </row>
    <row r="8" customFormat="false" ht="14.25" hidden="false" customHeight="false" outlineLevel="0" collapsed="false">
      <c r="B8" s="36"/>
      <c r="C8" s="45"/>
      <c r="D8" s="46" t="s">
        <v>61</v>
      </c>
      <c r="E8" s="7" t="n">
        <f aca="false" t="array" ref="E8:J8">'Gráficas SpeedUp'!D146:I146</f>
        <v>348458</v>
      </c>
      <c r="F8" s="7" t="n">
        <v>204002</v>
      </c>
      <c r="G8" s="7" t="n">
        <v>125765</v>
      </c>
      <c r="H8" s="7" t="n">
        <v>90604</v>
      </c>
      <c r="I8" s="7" t="n">
        <v>83879</v>
      </c>
      <c r="J8" s="7" t="n">
        <v>79293</v>
      </c>
      <c r="K8" s="7"/>
      <c r="L8" s="7"/>
      <c r="M8" s="7"/>
      <c r="N8" s="7"/>
      <c r="O8" s="38"/>
    </row>
    <row r="9" customFormat="false" ht="14.25" hidden="false" customHeight="false" outlineLevel="0" collapsed="false">
      <c r="B9" s="36"/>
      <c r="C9" s="45"/>
      <c r="D9" s="46" t="s">
        <v>62</v>
      </c>
      <c r="E9" s="7" t="n">
        <f aca="false" t="array" ref="E9:J9">'Gráficas SpeedUp'!D214:I214</f>
        <v>255781</v>
      </c>
      <c r="F9" s="7" t="n">
        <v>164252</v>
      </c>
      <c r="G9" s="7" t="n">
        <v>101427</v>
      </c>
      <c r="H9" s="7" t="n">
        <v>79762</v>
      </c>
      <c r="I9" s="7" t="n">
        <v>73429</v>
      </c>
      <c r="J9" s="7" t="n">
        <v>67541</v>
      </c>
      <c r="K9" s="7"/>
      <c r="L9" s="7"/>
      <c r="M9" s="7"/>
      <c r="N9" s="7"/>
      <c r="O9" s="38"/>
    </row>
    <row r="10" customFormat="false" ht="14.25" hidden="false" customHeight="false" outlineLevel="0" collapsed="false">
      <c r="B10" s="3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38"/>
    </row>
    <row r="11" customFormat="false" ht="14.25" hidden="false" customHeight="false" outlineLevel="0" collapsed="false">
      <c r="B11" s="3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38"/>
    </row>
    <row r="12" customFormat="false" ht="14.25" hidden="false" customHeight="false" outlineLevel="0" collapsed="false">
      <c r="B12" s="3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38"/>
    </row>
    <row r="13" customFormat="false" ht="14.25" hidden="false" customHeight="false" outlineLevel="0" collapsed="false">
      <c r="B13" s="3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38"/>
    </row>
    <row r="14" customFormat="false" ht="14.25" hidden="false" customHeight="false" outlineLevel="0" collapsed="false">
      <c r="B14" s="3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38"/>
    </row>
    <row r="15" customFormat="false" ht="14.25" hidden="false" customHeight="false" outlineLevel="0" collapsed="false">
      <c r="B15" s="3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38"/>
    </row>
    <row r="16" customFormat="false" ht="14.25" hidden="false" customHeight="false" outlineLevel="0" collapsed="false">
      <c r="B16" s="3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38"/>
    </row>
    <row r="17" customFormat="false" ht="14.25" hidden="false" customHeight="false" outlineLevel="0" collapsed="false">
      <c r="B17" s="3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38"/>
    </row>
    <row r="18" customFormat="false" ht="14.25" hidden="false" customHeight="false" outlineLevel="0" collapsed="false">
      <c r="B18" s="3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38"/>
    </row>
    <row r="19" customFormat="false" ht="14.25" hidden="false" customHeight="false" outlineLevel="0" collapsed="false">
      <c r="B19" s="3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38"/>
    </row>
    <row r="20" customFormat="false" ht="14.25" hidden="false" customHeight="false" outlineLevel="0" collapsed="false">
      <c r="B20" s="3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38"/>
    </row>
    <row r="21" customFormat="false" ht="14.25" hidden="false" customHeight="false" outlineLevel="0" collapsed="false">
      <c r="B21" s="3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38"/>
    </row>
    <row r="22" customFormat="false" ht="14.25" hidden="false" customHeight="false" outlineLevel="0" collapsed="false">
      <c r="B22" s="3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38"/>
    </row>
    <row r="23" customFormat="false" ht="14.25" hidden="false" customHeight="false" outlineLevel="0" collapsed="false">
      <c r="B23" s="3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38"/>
    </row>
    <row r="24" customFormat="false" ht="14.25" hidden="false" customHeight="false" outlineLevel="0" collapsed="false">
      <c r="B24" s="3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38"/>
    </row>
    <row r="25" customFormat="false" ht="14.25" hidden="false" customHeight="false" outlineLevel="0" collapsed="false">
      <c r="B25" s="3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38"/>
    </row>
    <row r="26" customFormat="false" ht="14.25" hidden="false" customHeight="false" outlineLevel="0" collapsed="false">
      <c r="B26" s="3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38"/>
    </row>
    <row r="27" customFormat="false" ht="14.25" hidden="false" customHeight="false" outlineLevel="0" collapsed="false">
      <c r="B27" s="3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38"/>
    </row>
    <row r="28" customFormat="false" ht="14.25" hidden="false" customHeight="false" outlineLevel="0" collapsed="false">
      <c r="B28" s="3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38"/>
    </row>
    <row r="29" customFormat="false" ht="14.25" hidden="false" customHeight="false" outlineLevel="0" collapsed="false">
      <c r="B29" s="3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38"/>
    </row>
    <row r="30" customFormat="false" ht="14.25" hidden="false" customHeight="false" outlineLevel="0" collapsed="false">
      <c r="B30" s="3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38"/>
    </row>
    <row r="31" customFormat="false" ht="14.25" hidden="false" customHeight="false" outlineLevel="0" collapsed="false">
      <c r="B31" s="3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38"/>
    </row>
    <row r="32" customFormat="false" ht="14.25" hidden="false" customHeight="false" outlineLevel="0" collapsed="false">
      <c r="B32" s="3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38"/>
    </row>
    <row r="33" customFormat="false" ht="14.25" hidden="false" customHeight="false" outlineLevel="0" collapsed="false">
      <c r="B33" s="3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38"/>
    </row>
    <row r="34" customFormat="false" ht="14.25" hidden="false" customHeight="false" outlineLevel="0" collapsed="false">
      <c r="B34" s="3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38"/>
    </row>
    <row r="35" customFormat="false" ht="14.25" hidden="false" customHeight="false" outlineLevel="0" collapsed="false">
      <c r="B35" s="3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38"/>
    </row>
    <row r="36" customFormat="false" ht="14.25" hidden="false" customHeight="false" outlineLevel="0" collapsed="false">
      <c r="B36" s="3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38"/>
    </row>
    <row r="37" customFormat="false" ht="14.25" hidden="false" customHeight="false" outlineLevel="0" collapsed="false"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3"/>
    </row>
    <row r="41" customFormat="false" ht="14.25" hidden="false" customHeight="false" outlineLevel="0" collapsed="false"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5"/>
    </row>
    <row r="42" customFormat="false" ht="33.85" hidden="false" customHeight="false" outlineLevel="0" collapsed="false">
      <c r="B42" s="36"/>
      <c r="C42" s="7"/>
      <c r="D42" s="37" t="s">
        <v>66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38"/>
    </row>
    <row r="43" customFormat="false" ht="14.25" hidden="false" customHeight="false" outlineLevel="0" collapsed="false">
      <c r="B43" s="36"/>
      <c r="C43" s="44"/>
      <c r="D43" s="15" t="str">
        <f aca="false" t="array" ref="D43:J43">'Gráficas SpeedUp'!C76:I76</f>
        <v># Hilos</v>
      </c>
      <c r="E43" s="15" t="str">
        <v>1 hilo</v>
      </c>
      <c r="F43" s="15" t="str">
        <v>2 hilos</v>
      </c>
      <c r="G43" s="15" t="str">
        <v>4 hilos</v>
      </c>
      <c r="H43" s="15" t="str">
        <v>8 hilos</v>
      </c>
      <c r="I43" s="15" t="str">
        <v>12 hilos</v>
      </c>
      <c r="J43" s="15" t="str">
        <v>32 hilos</v>
      </c>
      <c r="K43" s="7"/>
      <c r="L43" s="7"/>
      <c r="M43" s="7"/>
      <c r="N43" s="7"/>
      <c r="O43" s="38"/>
    </row>
    <row r="44" customFormat="false" ht="14.25" hidden="false" customHeight="true" outlineLevel="0" collapsed="false">
      <c r="B44" s="36"/>
      <c r="C44" s="45" t="s">
        <v>64</v>
      </c>
      <c r="D44" s="46" t="s">
        <v>47</v>
      </c>
      <c r="E44" s="7" t="n">
        <f aca="false" t="array" ref="E44:J44">'Gráficas SpeedUp'!D13:I13</f>
        <v>1521100</v>
      </c>
      <c r="F44" s="7" t="n">
        <v>749871</v>
      </c>
      <c r="G44" s="7" t="n">
        <v>383876</v>
      </c>
      <c r="H44" s="7" t="n">
        <v>270012</v>
      </c>
      <c r="I44" s="7" t="n">
        <v>231602</v>
      </c>
      <c r="J44" s="7" t="n">
        <v>283263</v>
      </c>
      <c r="K44" s="7"/>
      <c r="L44" s="7"/>
      <c r="M44" s="7"/>
      <c r="N44" s="7"/>
      <c r="O44" s="38"/>
    </row>
    <row r="45" customFormat="false" ht="14.25" hidden="false" customHeight="false" outlineLevel="0" collapsed="false">
      <c r="B45" s="36"/>
      <c r="C45" s="45"/>
      <c r="D45" s="46" t="s">
        <v>65</v>
      </c>
      <c r="E45" s="7" t="n">
        <f aca="false" t="array" ref="E45:J45">'Gráficas SpeedUp'!D81:I81</f>
        <v>1765416</v>
      </c>
      <c r="F45" s="7" t="n">
        <v>914375</v>
      </c>
      <c r="G45" s="7" t="n">
        <v>526673</v>
      </c>
      <c r="H45" s="7" t="n">
        <v>381269</v>
      </c>
      <c r="I45" s="7" t="n">
        <v>341132</v>
      </c>
      <c r="J45" s="7" t="n">
        <v>354261</v>
      </c>
      <c r="K45" s="7"/>
      <c r="L45" s="7"/>
      <c r="M45" s="7"/>
      <c r="N45" s="7"/>
      <c r="O45" s="38"/>
    </row>
    <row r="46" customFormat="false" ht="14.25" hidden="false" customHeight="false" outlineLevel="0" collapsed="false">
      <c r="B46" s="36"/>
      <c r="C46" s="45"/>
      <c r="D46" s="46" t="s">
        <v>61</v>
      </c>
      <c r="E46" s="7" t="n">
        <f aca="false" t="array" ref="E46:J46">'Gráficas SpeedUp'!D149:I149</f>
        <v>3505178</v>
      </c>
      <c r="F46" s="7" t="n">
        <v>1754005</v>
      </c>
      <c r="G46" s="7" t="n">
        <v>895523</v>
      </c>
      <c r="H46" s="7" t="n">
        <v>525825</v>
      </c>
      <c r="I46" s="7" t="n">
        <v>493885</v>
      </c>
      <c r="J46" s="7" t="n">
        <v>458028</v>
      </c>
      <c r="K46" s="7"/>
      <c r="L46" s="7"/>
      <c r="M46" s="7"/>
      <c r="N46" s="7"/>
      <c r="O46" s="38"/>
    </row>
    <row r="47" customFormat="false" ht="14.25" hidden="false" customHeight="false" outlineLevel="0" collapsed="false">
      <c r="B47" s="36"/>
      <c r="C47" s="45"/>
      <c r="D47" s="46" t="s">
        <v>62</v>
      </c>
      <c r="E47" s="7" t="n">
        <f aca="false" t="array" ref="E47:J47">'Gráficas SpeedUp'!D217:I217</f>
        <v>1750528</v>
      </c>
      <c r="F47" s="7" t="n">
        <v>960808</v>
      </c>
      <c r="G47" s="7" t="n">
        <v>504520</v>
      </c>
      <c r="H47" s="7" t="n">
        <v>371999</v>
      </c>
      <c r="I47" s="7" t="n">
        <v>340942</v>
      </c>
      <c r="J47" s="7" t="n">
        <v>326507</v>
      </c>
      <c r="K47" s="7"/>
      <c r="L47" s="7"/>
      <c r="M47" s="7"/>
      <c r="N47" s="7"/>
      <c r="O47" s="38"/>
    </row>
    <row r="48" customFormat="false" ht="14.25" hidden="false" customHeight="false" outlineLevel="0" collapsed="false">
      <c r="B48" s="3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38"/>
    </row>
    <row r="49" customFormat="false" ht="14.25" hidden="false" customHeight="false" outlineLevel="0" collapsed="false">
      <c r="B49" s="3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38"/>
    </row>
    <row r="50" customFormat="false" ht="14.25" hidden="false" customHeight="false" outlineLevel="0" collapsed="false">
      <c r="B50" s="3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38"/>
    </row>
    <row r="51" customFormat="false" ht="14.25" hidden="false" customHeight="false" outlineLevel="0" collapsed="false">
      <c r="B51" s="3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38"/>
    </row>
    <row r="52" customFormat="false" ht="14.25" hidden="false" customHeight="false" outlineLevel="0" collapsed="false">
      <c r="B52" s="3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38"/>
    </row>
    <row r="53" customFormat="false" ht="14.25" hidden="false" customHeight="false" outlineLevel="0" collapsed="false">
      <c r="B53" s="3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38"/>
    </row>
    <row r="54" customFormat="false" ht="14.25" hidden="false" customHeight="false" outlineLevel="0" collapsed="false">
      <c r="B54" s="3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38"/>
    </row>
    <row r="55" customFormat="false" ht="14.25" hidden="false" customHeight="false" outlineLevel="0" collapsed="false">
      <c r="B55" s="3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38"/>
    </row>
    <row r="56" customFormat="false" ht="14.25" hidden="false" customHeight="false" outlineLevel="0" collapsed="false">
      <c r="B56" s="3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38"/>
    </row>
    <row r="57" customFormat="false" ht="14.25" hidden="false" customHeight="false" outlineLevel="0" collapsed="false">
      <c r="B57" s="3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38"/>
    </row>
    <row r="58" customFormat="false" ht="14.25" hidden="false" customHeight="false" outlineLevel="0" collapsed="false">
      <c r="B58" s="3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38"/>
    </row>
    <row r="59" customFormat="false" ht="14.25" hidden="false" customHeight="false" outlineLevel="0" collapsed="false">
      <c r="B59" s="3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38"/>
    </row>
    <row r="60" customFormat="false" ht="14.25" hidden="false" customHeight="false" outlineLevel="0" collapsed="false">
      <c r="B60" s="3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38"/>
    </row>
    <row r="61" customFormat="false" ht="14.25" hidden="false" customHeight="false" outlineLevel="0" collapsed="false">
      <c r="B61" s="3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38"/>
    </row>
    <row r="62" customFormat="false" ht="14.25" hidden="false" customHeight="false" outlineLevel="0" collapsed="false">
      <c r="B62" s="3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38"/>
    </row>
    <row r="63" customFormat="false" ht="14.25" hidden="false" customHeight="false" outlineLevel="0" collapsed="false">
      <c r="B63" s="3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38"/>
    </row>
    <row r="64" customFormat="false" ht="14.25" hidden="false" customHeight="false" outlineLevel="0" collapsed="false">
      <c r="B64" s="3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38"/>
    </row>
    <row r="65" customFormat="false" ht="14.25" hidden="false" customHeight="false" outlineLevel="0" collapsed="false">
      <c r="B65" s="3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38"/>
    </row>
    <row r="66" customFormat="false" ht="14.25" hidden="false" customHeight="false" outlineLevel="0" collapsed="false">
      <c r="B66" s="3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38"/>
    </row>
    <row r="67" customFormat="false" ht="14.25" hidden="false" customHeight="false" outlineLevel="0" collapsed="false">
      <c r="B67" s="3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38"/>
    </row>
    <row r="68" customFormat="false" ht="14.25" hidden="false" customHeight="false" outlineLevel="0" collapsed="false">
      <c r="B68" s="3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38"/>
    </row>
    <row r="69" customFormat="false" ht="14.25" hidden="false" customHeight="false" outlineLevel="0" collapsed="false">
      <c r="B69" s="3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38"/>
    </row>
    <row r="70" customFormat="false" ht="14.25" hidden="false" customHeight="false" outlineLevel="0" collapsed="false">
      <c r="B70" s="3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38"/>
    </row>
    <row r="71" customFormat="false" ht="14.25" hidden="false" customHeight="false" outlineLevel="0" collapsed="false">
      <c r="B71" s="3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38"/>
    </row>
    <row r="72" customFormat="false" ht="14.25" hidden="false" customHeight="false" outlineLevel="0" collapsed="false">
      <c r="B72" s="3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38"/>
    </row>
    <row r="73" customFormat="false" ht="14.25" hidden="false" customHeight="false" outlineLevel="0" collapsed="false">
      <c r="B73" s="3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38"/>
    </row>
    <row r="74" customFormat="false" ht="14.25" hidden="false" customHeight="false" outlineLevel="0" collapsed="false">
      <c r="B74" s="3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38"/>
    </row>
    <row r="75" customFormat="false" ht="14.25" hidden="false" customHeight="false" outlineLevel="0" collapsed="false"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3"/>
    </row>
    <row r="79" customFormat="false" ht="14.25" hidden="false" customHeight="false" outlineLevel="0" collapsed="false">
      <c r="B79" s="47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9"/>
    </row>
    <row r="80" customFormat="false" ht="33.85" hidden="false" customHeight="false" outlineLevel="0" collapsed="false">
      <c r="B80" s="50"/>
      <c r="C80" s="7"/>
      <c r="D80" s="37" t="s">
        <v>67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51"/>
    </row>
    <row r="81" customFormat="false" ht="14.25" hidden="false" customHeight="false" outlineLevel="0" collapsed="false">
      <c r="B81" s="50"/>
      <c r="C81" s="44"/>
      <c r="D81" s="15" t="str">
        <f aca="false" t="array" ref="D81:J81">'Gráficas SpeedUp'!C144:I144</f>
        <v># Hilos</v>
      </c>
      <c r="E81" s="15" t="str">
        <v>1 hilo</v>
      </c>
      <c r="F81" s="15" t="str">
        <v>2 hilos</v>
      </c>
      <c r="G81" s="15" t="str">
        <v>4 hilos</v>
      </c>
      <c r="H81" s="15" t="str">
        <v>8 hilos</v>
      </c>
      <c r="I81" s="15" t="str">
        <v>12 hilos</v>
      </c>
      <c r="J81" s="15" t="str">
        <v>32 hilos</v>
      </c>
      <c r="K81" s="7"/>
      <c r="L81" s="7"/>
      <c r="M81" s="7"/>
      <c r="N81" s="7"/>
      <c r="O81" s="51"/>
    </row>
    <row r="82" customFormat="false" ht="14.25" hidden="false" customHeight="false" outlineLevel="0" collapsed="false">
      <c r="B82" s="50"/>
      <c r="C82" s="45" t="s">
        <v>64</v>
      </c>
      <c r="D82" s="46" t="s">
        <v>47</v>
      </c>
      <c r="E82" s="7" t="n">
        <f aca="false" t="array" ref="E82:J82">'Gráficas SpeedUp'!D16:I16</f>
        <v>4350333</v>
      </c>
      <c r="F82" s="7" t="n">
        <v>2513862</v>
      </c>
      <c r="G82" s="7" t="n">
        <v>1266438</v>
      </c>
      <c r="H82" s="7" t="n">
        <v>681865</v>
      </c>
      <c r="I82" s="7" t="n">
        <v>695559</v>
      </c>
      <c r="J82" s="7" t="n">
        <v>1178110</v>
      </c>
      <c r="K82" s="7"/>
      <c r="L82" s="7"/>
      <c r="M82" s="7"/>
      <c r="N82" s="7"/>
      <c r="O82" s="51"/>
    </row>
    <row r="83" customFormat="false" ht="14.25" hidden="false" customHeight="false" outlineLevel="0" collapsed="false">
      <c r="B83" s="50"/>
      <c r="C83" s="45"/>
      <c r="D83" s="46" t="s">
        <v>65</v>
      </c>
      <c r="E83" s="7" t="n">
        <f aca="false" t="array" ref="E83:J83">'Gráficas SpeedUp'!D84:I84</f>
        <v>6208244</v>
      </c>
      <c r="F83" s="7" t="n">
        <v>3171813</v>
      </c>
      <c r="G83" s="7" t="n">
        <v>1665234</v>
      </c>
      <c r="H83" s="7" t="n">
        <v>1219073</v>
      </c>
      <c r="I83" s="7" t="n">
        <v>1062871</v>
      </c>
      <c r="J83" s="7" t="n">
        <v>1083171</v>
      </c>
      <c r="K83" s="7"/>
      <c r="L83" s="7"/>
      <c r="M83" s="7"/>
      <c r="N83" s="7"/>
      <c r="O83" s="51"/>
    </row>
    <row r="84" customFormat="false" ht="14.25" hidden="false" customHeight="false" outlineLevel="0" collapsed="false">
      <c r="B84" s="50"/>
      <c r="C84" s="45"/>
      <c r="D84" s="46" t="s">
        <v>61</v>
      </c>
      <c r="E84" s="7" t="n">
        <f aca="false" t="array" ref="E84:J84">'Gráficas SpeedUp'!D152:I152</f>
        <v>14070331</v>
      </c>
      <c r="F84" s="7" t="n">
        <v>7160186</v>
      </c>
      <c r="G84" s="7" t="n">
        <v>3593381</v>
      </c>
      <c r="H84" s="7" t="n">
        <v>2491432</v>
      </c>
      <c r="I84" s="7" t="n">
        <v>2168736</v>
      </c>
      <c r="J84" s="7" t="n">
        <v>2110173</v>
      </c>
      <c r="K84" s="7"/>
      <c r="L84" s="7"/>
      <c r="M84" s="7"/>
      <c r="N84" s="7"/>
      <c r="O84" s="51"/>
    </row>
    <row r="85" customFormat="false" ht="14.25" hidden="false" customHeight="false" outlineLevel="0" collapsed="false">
      <c r="B85" s="50"/>
      <c r="C85" s="45"/>
      <c r="D85" s="46" t="s">
        <v>62</v>
      </c>
      <c r="E85" s="7" t="n">
        <f aca="false" t="array" ref="E85:J85">'Gráficas SpeedUp'!D220:I220</f>
        <v>5804843</v>
      </c>
      <c r="F85" s="7" t="n">
        <v>3075651</v>
      </c>
      <c r="G85" s="7" t="n">
        <v>1613962</v>
      </c>
      <c r="H85" s="7" t="n">
        <v>1165102</v>
      </c>
      <c r="I85" s="7" t="n">
        <v>1004512</v>
      </c>
      <c r="J85" s="7" t="n">
        <v>993634</v>
      </c>
      <c r="K85" s="7"/>
      <c r="L85" s="7"/>
      <c r="M85" s="7"/>
      <c r="N85" s="7"/>
      <c r="O85" s="51"/>
    </row>
    <row r="86" customFormat="false" ht="14.25" hidden="false" customHeight="false" outlineLevel="0" collapsed="false">
      <c r="B86" s="50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51"/>
    </row>
    <row r="87" customFormat="false" ht="14.25" hidden="false" customHeight="false" outlineLevel="0" collapsed="false">
      <c r="B87" s="50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51"/>
    </row>
    <row r="88" customFormat="false" ht="14.25" hidden="false" customHeight="false" outlineLevel="0" collapsed="false">
      <c r="B88" s="50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51"/>
    </row>
    <row r="89" customFormat="false" ht="14.25" hidden="false" customHeight="false" outlineLevel="0" collapsed="false">
      <c r="B89" s="50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51"/>
    </row>
    <row r="90" customFormat="false" ht="14.25" hidden="false" customHeight="false" outlineLevel="0" collapsed="false">
      <c r="B90" s="50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51"/>
    </row>
    <row r="91" customFormat="false" ht="14.25" hidden="false" customHeight="false" outlineLevel="0" collapsed="false">
      <c r="B91" s="50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51"/>
    </row>
    <row r="92" customFormat="false" ht="14.25" hidden="false" customHeight="false" outlineLevel="0" collapsed="false">
      <c r="B92" s="50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51"/>
    </row>
    <row r="93" customFormat="false" ht="14.25" hidden="false" customHeight="false" outlineLevel="0" collapsed="false">
      <c r="B93" s="50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51"/>
    </row>
    <row r="94" customFormat="false" ht="14.25" hidden="false" customHeight="false" outlineLevel="0" collapsed="false">
      <c r="B94" s="50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51"/>
    </row>
    <row r="95" customFormat="false" ht="14.25" hidden="false" customHeight="false" outlineLevel="0" collapsed="false">
      <c r="B95" s="50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51"/>
    </row>
    <row r="96" customFormat="false" ht="14.25" hidden="false" customHeight="false" outlineLevel="0" collapsed="false">
      <c r="B96" s="50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51"/>
    </row>
    <row r="97" customFormat="false" ht="14.25" hidden="false" customHeight="false" outlineLevel="0" collapsed="false">
      <c r="B97" s="50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51"/>
    </row>
    <row r="98" customFormat="false" ht="14.25" hidden="false" customHeight="false" outlineLevel="0" collapsed="false">
      <c r="B98" s="50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51"/>
    </row>
    <row r="99" customFormat="false" ht="14.25" hidden="false" customHeight="false" outlineLevel="0" collapsed="false">
      <c r="B99" s="50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51"/>
    </row>
    <row r="100" customFormat="false" ht="14.25" hidden="false" customHeight="false" outlineLevel="0" collapsed="false">
      <c r="B100" s="50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51"/>
    </row>
    <row r="101" customFormat="false" ht="14.25" hidden="false" customHeight="false" outlineLevel="0" collapsed="false">
      <c r="B101" s="50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51"/>
    </row>
    <row r="102" customFormat="false" ht="14.25" hidden="false" customHeight="false" outlineLevel="0" collapsed="false">
      <c r="B102" s="50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51"/>
    </row>
    <row r="103" customFormat="false" ht="14.25" hidden="false" customHeight="false" outlineLevel="0" collapsed="false">
      <c r="B103" s="50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51"/>
    </row>
    <row r="104" customFormat="false" ht="14.25" hidden="false" customHeight="false" outlineLevel="0" collapsed="false">
      <c r="B104" s="50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51"/>
    </row>
    <row r="105" customFormat="false" ht="14.25" hidden="false" customHeight="false" outlineLevel="0" collapsed="false">
      <c r="B105" s="50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51"/>
    </row>
    <row r="106" customFormat="false" ht="14.25" hidden="false" customHeight="false" outlineLevel="0" collapsed="false">
      <c r="B106" s="50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51"/>
    </row>
    <row r="107" customFormat="false" ht="14.25" hidden="false" customHeight="false" outlineLevel="0" collapsed="false">
      <c r="B107" s="50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51"/>
    </row>
    <row r="108" customFormat="false" ht="14.25" hidden="false" customHeight="false" outlineLevel="0" collapsed="false">
      <c r="B108" s="50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51"/>
    </row>
    <row r="109" customFormat="false" ht="14.25" hidden="false" customHeight="false" outlineLevel="0" collapsed="false">
      <c r="B109" s="50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51"/>
    </row>
    <row r="110" customFormat="false" ht="14.25" hidden="false" customHeight="false" outlineLevel="0" collapsed="false">
      <c r="B110" s="50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51"/>
    </row>
    <row r="111" customFormat="false" ht="14.25" hidden="false" customHeight="false" outlineLevel="0" collapsed="false">
      <c r="B111" s="50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51"/>
    </row>
    <row r="112" customFormat="false" ht="14.25" hidden="false" customHeight="false" outlineLevel="0" collapsed="false">
      <c r="B112" s="50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51"/>
    </row>
    <row r="113" customFormat="false" ht="14.25" hidden="false" customHeight="false" outlineLevel="0" collapsed="false">
      <c r="B113" s="50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1"/>
    </row>
    <row r="114" customFormat="false" ht="14.25" hidden="false" customHeight="false" outlineLevel="0" collapsed="false">
      <c r="B114" s="53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5"/>
    </row>
    <row r="117" customFormat="false" ht="14.25" hidden="false" customHeight="false" outlineLevel="0" collapsed="false">
      <c r="B117" s="47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9"/>
    </row>
    <row r="118" customFormat="false" ht="33.85" hidden="false" customHeight="false" outlineLevel="0" collapsed="false">
      <c r="B118" s="50"/>
      <c r="C118" s="52"/>
      <c r="D118" s="56" t="s">
        <v>68</v>
      </c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1"/>
    </row>
    <row r="119" customFormat="false" ht="14.25" hidden="false" customHeight="false" outlineLevel="0" collapsed="false">
      <c r="B119" s="50"/>
      <c r="C119" s="57"/>
      <c r="D119" s="58" t="str">
        <f aca="false" t="array" ref="D119:J119">'Gráficas SpeedUp'!C212:I212</f>
        <v># Hilos</v>
      </c>
      <c r="E119" s="58" t="str">
        <v>1 hilo</v>
      </c>
      <c r="F119" s="58" t="str">
        <v>2 hilos</v>
      </c>
      <c r="G119" s="58" t="str">
        <v>4 hilos</v>
      </c>
      <c r="H119" s="58" t="str">
        <v>8 hilos</v>
      </c>
      <c r="I119" s="58" t="str">
        <v>12 hilos</v>
      </c>
      <c r="J119" s="58" t="str">
        <v>32 hilos</v>
      </c>
      <c r="K119" s="52"/>
      <c r="L119" s="52"/>
      <c r="M119" s="52"/>
      <c r="N119" s="52"/>
      <c r="O119" s="51"/>
    </row>
    <row r="120" customFormat="false" ht="14.25" hidden="false" customHeight="false" outlineLevel="0" collapsed="false">
      <c r="B120" s="50"/>
      <c r="C120" s="45" t="s">
        <v>64</v>
      </c>
      <c r="D120" s="59" t="s">
        <v>47</v>
      </c>
      <c r="E120" s="52" t="n">
        <f aca="false" t="array" ref="E120:J120">'Gráficas SpeedUp'!D19:I19</f>
        <v>112677887</v>
      </c>
      <c r="F120" s="52" t="n">
        <v>53293998</v>
      </c>
      <c r="G120" s="52" t="n">
        <v>26736938</v>
      </c>
      <c r="H120" s="52" t="n">
        <v>17592098</v>
      </c>
      <c r="I120" s="52" t="n">
        <v>14930953</v>
      </c>
      <c r="J120" s="52" t="n">
        <v>14566530</v>
      </c>
      <c r="K120" s="52"/>
      <c r="L120" s="52"/>
      <c r="M120" s="52"/>
      <c r="N120" s="52"/>
      <c r="O120" s="51"/>
    </row>
    <row r="121" customFormat="false" ht="14.25" hidden="false" customHeight="false" outlineLevel="0" collapsed="false">
      <c r="B121" s="50"/>
      <c r="C121" s="45"/>
      <c r="D121" s="59" t="s">
        <v>65</v>
      </c>
      <c r="E121" s="52" t="n">
        <f aca="false" t="array" ref="E121:J121">'Gráficas SpeedUp'!D87:I87</f>
        <v>16441487</v>
      </c>
      <c r="F121" s="52" t="n">
        <v>8220973</v>
      </c>
      <c r="G121" s="52" t="n">
        <v>4302703</v>
      </c>
      <c r="H121" s="52" t="n">
        <v>3057196</v>
      </c>
      <c r="I121" s="52" t="n">
        <v>2647205</v>
      </c>
      <c r="J121" s="52" t="n">
        <v>2492858</v>
      </c>
      <c r="K121" s="52"/>
      <c r="L121" s="52"/>
      <c r="M121" s="52"/>
      <c r="N121" s="52"/>
      <c r="O121" s="51"/>
    </row>
    <row r="122" customFormat="false" ht="14.25" hidden="false" customHeight="false" outlineLevel="0" collapsed="false">
      <c r="B122" s="50"/>
      <c r="C122" s="45"/>
      <c r="D122" s="59" t="s">
        <v>61</v>
      </c>
      <c r="E122" s="52" t="n">
        <f aca="false" t="array" ref="E122:J122">'Gráficas SpeedUp'!D155:I155</f>
        <v>112980694</v>
      </c>
      <c r="F122" s="52" t="n">
        <v>56280088</v>
      </c>
      <c r="G122" s="52" t="n">
        <v>27669271</v>
      </c>
      <c r="H122" s="52" t="n">
        <v>19196676</v>
      </c>
      <c r="I122" s="52" t="n">
        <v>17465188</v>
      </c>
      <c r="J122" s="52" t="n">
        <v>16956063</v>
      </c>
      <c r="K122" s="52"/>
      <c r="L122" s="52"/>
      <c r="M122" s="52"/>
      <c r="N122" s="52"/>
      <c r="O122" s="51"/>
    </row>
    <row r="123" customFormat="false" ht="14.25" hidden="false" customHeight="false" outlineLevel="0" collapsed="false">
      <c r="B123" s="50"/>
      <c r="C123" s="45"/>
      <c r="D123" s="59" t="s">
        <v>62</v>
      </c>
      <c r="E123" s="52" t="n">
        <f aca="false" t="array" ref="E123:J123">'Gráficas SpeedUp'!D223:I223</f>
        <v>15997473</v>
      </c>
      <c r="F123" s="52" t="n">
        <v>8460006</v>
      </c>
      <c r="G123" s="52" t="n">
        <v>4339136</v>
      </c>
      <c r="H123" s="52" t="n">
        <v>2910380</v>
      </c>
      <c r="I123" s="52" t="n">
        <v>2593285</v>
      </c>
      <c r="J123" s="52" t="n">
        <v>2585404</v>
      </c>
      <c r="K123" s="52"/>
      <c r="L123" s="52"/>
      <c r="M123" s="52"/>
      <c r="N123" s="52"/>
      <c r="O123" s="51"/>
    </row>
    <row r="124" customFormat="false" ht="14.25" hidden="false" customHeight="false" outlineLevel="0" collapsed="false">
      <c r="B124" s="50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1"/>
    </row>
    <row r="125" customFormat="false" ht="14.25" hidden="false" customHeight="false" outlineLevel="0" collapsed="false">
      <c r="B125" s="50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1"/>
    </row>
    <row r="126" customFormat="false" ht="14.25" hidden="false" customHeight="false" outlineLevel="0" collapsed="false">
      <c r="B126" s="50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1"/>
    </row>
    <row r="127" customFormat="false" ht="14.25" hidden="false" customHeight="false" outlineLevel="0" collapsed="false">
      <c r="B127" s="50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1"/>
    </row>
    <row r="128" customFormat="false" ht="14.25" hidden="false" customHeight="false" outlineLevel="0" collapsed="false">
      <c r="B128" s="50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1"/>
    </row>
    <row r="129" customFormat="false" ht="14.25" hidden="false" customHeight="false" outlineLevel="0" collapsed="false">
      <c r="B129" s="50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1"/>
    </row>
    <row r="130" customFormat="false" ht="14.25" hidden="false" customHeight="false" outlineLevel="0" collapsed="false">
      <c r="B130" s="50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1"/>
    </row>
    <row r="131" customFormat="false" ht="14.25" hidden="false" customHeight="false" outlineLevel="0" collapsed="false">
      <c r="B131" s="50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1"/>
    </row>
    <row r="132" customFormat="false" ht="14.25" hidden="false" customHeight="false" outlineLevel="0" collapsed="false">
      <c r="B132" s="50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1"/>
    </row>
    <row r="133" customFormat="false" ht="14.25" hidden="false" customHeight="false" outlineLevel="0" collapsed="false">
      <c r="B133" s="50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1"/>
    </row>
    <row r="134" customFormat="false" ht="14.25" hidden="false" customHeight="false" outlineLevel="0" collapsed="false">
      <c r="B134" s="50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1"/>
    </row>
    <row r="135" customFormat="false" ht="14.25" hidden="false" customHeight="false" outlineLevel="0" collapsed="false">
      <c r="B135" s="50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1"/>
    </row>
    <row r="136" customFormat="false" ht="14.25" hidden="false" customHeight="false" outlineLevel="0" collapsed="false">
      <c r="B136" s="50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1"/>
    </row>
    <row r="137" customFormat="false" ht="14.25" hidden="false" customHeight="false" outlineLevel="0" collapsed="false">
      <c r="B137" s="50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1"/>
    </row>
    <row r="138" customFormat="false" ht="14.25" hidden="false" customHeight="false" outlineLevel="0" collapsed="false">
      <c r="B138" s="50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1"/>
    </row>
    <row r="139" customFormat="false" ht="14.25" hidden="false" customHeight="false" outlineLevel="0" collapsed="false">
      <c r="B139" s="50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1"/>
    </row>
    <row r="140" customFormat="false" ht="14.25" hidden="false" customHeight="false" outlineLevel="0" collapsed="false">
      <c r="B140" s="50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1"/>
    </row>
    <row r="141" customFormat="false" ht="14.25" hidden="false" customHeight="false" outlineLevel="0" collapsed="false">
      <c r="B141" s="50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1"/>
    </row>
    <row r="142" customFormat="false" ht="14.25" hidden="false" customHeight="false" outlineLevel="0" collapsed="false">
      <c r="B142" s="50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1"/>
    </row>
    <row r="143" customFormat="false" ht="14.25" hidden="false" customHeight="false" outlineLevel="0" collapsed="false">
      <c r="B143" s="50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1"/>
    </row>
    <row r="144" customFormat="false" ht="14.25" hidden="false" customHeight="false" outlineLevel="0" collapsed="false">
      <c r="B144" s="50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1"/>
    </row>
    <row r="145" customFormat="false" ht="14.25" hidden="false" customHeight="false" outlineLevel="0" collapsed="false">
      <c r="B145" s="50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1"/>
    </row>
    <row r="146" customFormat="false" ht="14.25" hidden="false" customHeight="false" outlineLevel="0" collapsed="false">
      <c r="B146" s="50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1"/>
    </row>
    <row r="147" customFormat="false" ht="14.25" hidden="false" customHeight="false" outlineLevel="0" collapsed="false">
      <c r="B147" s="50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1"/>
    </row>
    <row r="148" customFormat="false" ht="14.25" hidden="false" customHeight="false" outlineLevel="0" collapsed="false">
      <c r="B148" s="50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1"/>
    </row>
    <row r="149" customFormat="false" ht="14.25" hidden="false" customHeight="false" outlineLevel="0" collapsed="false">
      <c r="B149" s="50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1"/>
    </row>
    <row r="150" customFormat="false" ht="14.25" hidden="false" customHeight="false" outlineLevel="0" collapsed="false">
      <c r="B150" s="50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1"/>
    </row>
    <row r="151" customFormat="false" ht="14.25" hidden="false" customHeight="false" outlineLevel="0" collapsed="false">
      <c r="B151" s="50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1"/>
    </row>
    <row r="152" customFormat="false" ht="14.25" hidden="false" customHeight="false" outlineLevel="0" collapsed="false">
      <c r="B152" s="53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5"/>
    </row>
  </sheetData>
  <mergeCells count="4">
    <mergeCell ref="C6:C9"/>
    <mergeCell ref="C44:C47"/>
    <mergeCell ref="C82:C85"/>
    <mergeCell ref="C120:C1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2025-11-03T08:10:09Z</dcterms:created>
  <dc:creator>Daniel Felipe Ramirez Vargas</dc:creator>
  <dc:description/>
  <dc:language>es-CO</dc:language>
  <cp:lastModifiedBy/>
  <dcterms:modified xsi:type="dcterms:W3CDTF">2026-04-27T22:31:02Z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