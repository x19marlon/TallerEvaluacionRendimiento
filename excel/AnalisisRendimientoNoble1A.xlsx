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ción completa" sheetId="1" state="visible" r:id="rId3"/>
    <sheet name="Gráficas SpeedUp" sheetId="2" state="visible" r:id="rId4"/>
    <sheet name="Gráficas Tiemp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<sst xmlns="http://schemas.openxmlformats.org/spreadsheetml/2006/main" count="444" uniqueCount="69">
  <si>
    <t xml:space="preserve">FORK  F X C</t>
  </si>
  <si>
    <t xml:space="preserve">MATRIZ 600 X 600</t>
  </si>
  <si>
    <t xml:space="preserve">1 hilo</t>
  </si>
  <si>
    <t xml:space="preserve">2 hilos</t>
  </si>
  <si>
    <t xml:space="preserve">4 hilos</t>
  </si>
  <si>
    <t xml:space="preserve">8 hilos</t>
  </si>
  <si>
    <t xml:space="preserve">12 hilos</t>
  </si>
  <si>
    <t xml:space="preserve">32 hilos</t>
  </si>
  <si>
    <t xml:space="preserve">MATRIZ 1200 x 1200</t>
  </si>
  <si>
    <t xml:space="preserve">MATRIZ 1800  x 1800</t>
  </si>
  <si>
    <t xml:space="preserve">MATRIZ 2400 x 2400</t>
  </si>
  <si>
    <t xml:space="preserve">Repetición #1</t>
  </si>
  <si>
    <t xml:space="preserve">Repetición #2</t>
  </si>
  <si>
    <t xml:space="preserve">Repetición #3</t>
  </si>
  <si>
    <t xml:space="preserve">Repetición #4</t>
  </si>
  <si>
    <t xml:space="preserve">Repetición #5</t>
  </si>
  <si>
    <t xml:space="preserve">Repetición #6</t>
  </si>
  <si>
    <t xml:space="preserve">Repetición #7</t>
  </si>
  <si>
    <t xml:space="preserve">Repetición #8</t>
  </si>
  <si>
    <t xml:space="preserve">Repetición #9</t>
  </si>
  <si>
    <t xml:space="preserve">Repetición #10</t>
  </si>
  <si>
    <t xml:space="preserve">Repetición #11</t>
  </si>
  <si>
    <t xml:space="preserve">Repetición #12</t>
  </si>
  <si>
    <t xml:space="preserve">Repetición #13</t>
  </si>
  <si>
    <t xml:space="preserve">Repetición #14</t>
  </si>
  <si>
    <t xml:space="preserve">Repetición #15</t>
  </si>
  <si>
    <t xml:space="preserve">Repetición #16</t>
  </si>
  <si>
    <t xml:space="preserve">Repetición #17</t>
  </si>
  <si>
    <t xml:space="preserve">Repetición #18</t>
  </si>
  <si>
    <t xml:space="preserve">Repetición #19</t>
  </si>
  <si>
    <t xml:space="preserve">Repetición #20</t>
  </si>
  <si>
    <t xml:space="preserve">Repetición #21</t>
  </si>
  <si>
    <t xml:space="preserve">Repetición #22</t>
  </si>
  <si>
    <t xml:space="preserve">Repetición #23</t>
  </si>
  <si>
    <t xml:space="preserve">Repetición #24</t>
  </si>
  <si>
    <t xml:space="preserve">Repetición #25</t>
  </si>
  <si>
    <t xml:space="preserve">Repetición #26</t>
  </si>
  <si>
    <t xml:space="preserve">Repetición #27</t>
  </si>
  <si>
    <t xml:space="preserve">Repetición #28</t>
  </si>
  <si>
    <t xml:space="preserve">Repetición #29</t>
  </si>
  <si>
    <t xml:space="preserve">Repetición #30</t>
  </si>
  <si>
    <t xml:space="preserve">PROMEDIO</t>
  </si>
  <si>
    <t xml:space="preserve">FORK F X T</t>
  </si>
  <si>
    <t xml:space="preserve">MATRIZ 1800 x 1800</t>
  </si>
  <si>
    <t xml:space="preserve">POSIX F X C</t>
  </si>
  <si>
    <t xml:space="preserve">MATRIZ 4800 x 4800</t>
  </si>
  <si>
    <t xml:space="preserve">POSIX F X T</t>
  </si>
  <si>
    <t xml:space="preserve">Fork F x C</t>
  </si>
  <si>
    <t xml:space="preserve"># Hilos</t>
  </si>
  <si>
    <t xml:space="preserve">SpeedUp Matrices 600 x 600</t>
  </si>
  <si>
    <t xml:space="preserve">Speed Up Promedio</t>
  </si>
  <si>
    <t xml:space="preserve">Promedio Matrices 600 x 600</t>
  </si>
  <si>
    <t xml:space="preserve">SpeedUp Matrices 1200 x 1200</t>
  </si>
  <si>
    <t xml:space="preserve">Promedio Matrices 1200 x 1200</t>
  </si>
  <si>
    <t xml:space="preserve">SpeedUp Matrices 1800 x 1800</t>
  </si>
  <si>
    <t xml:space="preserve">Promedio Matrices 1800 x 1800</t>
  </si>
  <si>
    <t xml:space="preserve">SpeedUp Matrices 2400 x 2400</t>
  </si>
  <si>
    <t xml:space="preserve">Promedio Matrices 2400 x 2400</t>
  </si>
  <si>
    <t xml:space="preserve">Fork  F x T</t>
  </si>
  <si>
    <t xml:space="preserve">SpeedUp Matrices 4800 x 4800</t>
  </si>
  <si>
    <t xml:space="preserve">Promedio Matrices 4800 x 4800</t>
  </si>
  <si>
    <t xml:space="preserve">Posix F x C</t>
  </si>
  <si>
    <t xml:space="preserve">Posix F x T</t>
  </si>
  <si>
    <t xml:space="preserve">MATRICES 600 X 600</t>
  </si>
  <si>
    <t xml:space="preserve">Algoritmo</t>
  </si>
  <si>
    <t xml:space="preserve">Fork F x T</t>
  </si>
  <si>
    <t xml:space="preserve">MATRICES 1200 X 1200</t>
  </si>
  <si>
    <t xml:space="preserve">MATRICES 1800 X 1800</t>
  </si>
  <si>
    <t xml:space="preserve">MATRICES 4800 X 4800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</si>
</sst>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8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b val="true"/>
      <i val="true"/>
      <sz val="11"/>
      <color rgb="FFFF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1"/>
      <color theme="1"/>
      <name val="Aptos Narrow"/>
      <family val="2"/>
      <charset val="1"/>
    </font>
    <font>
      <sz val="16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196B24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>
        <color rgb="FFFF0000"/>
      </left>
      <right/>
      <top style="medium">
        <color rgb="FFFF0000"/>
      </top>
      <bottom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/>
      <right style="medium">
        <color rgb="FFFF0000"/>
      </right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>
        <color theme="1" tint="0.0499"/>
      </left>
      <right/>
      <top style="medium">
        <color theme="1" tint="0.0499"/>
      </top>
      <bottom/>
      <diagonal/>
    </border>
    <border diagonalUp="false" diagonalDown="false">
      <left/>
      <right/>
      <top style="medium">
        <color theme="1" tint="0.0499"/>
      </top>
      <bottom/>
      <diagonal/>
    </border>
    <border diagonalUp="false" diagonalDown="false">
      <left/>
      <right style="medium">
        <color theme="1" tint="0.0499"/>
      </right>
      <top style="medium">
        <color theme="1" tint="0.0499"/>
      </top>
      <bottom/>
      <diagonal/>
    </border>
    <border diagonalUp="false" diagonalDown="false">
      <left style="medium">
        <color theme="1" tint="0.0499"/>
      </left>
      <right/>
      <top/>
      <bottom/>
      <diagonal/>
    </border>
    <border diagonalUp="false" diagonalDown="false">
      <left/>
      <right style="medium">
        <color theme="1" tint="0.0499"/>
      </right>
      <top/>
      <bottom/>
      <diagonal/>
    </border>
    <border diagonalUp="false" diagonalDown="false">
      <left style="medium">
        <color theme="1" tint="0.0499"/>
      </left>
      <right/>
      <top/>
      <bottom style="medium">
        <color theme="1" tint="0.0499"/>
      </bottom>
      <diagonal/>
    </border>
    <border diagonalUp="false" diagonalDown="false">
      <left/>
      <right/>
      <top/>
      <bottom style="medium">
        <color theme="1" tint="0.0499"/>
      </bottom>
      <diagonal/>
    </border>
    <border diagonalUp="false" diagonalDown="false">
      <left/>
      <right style="medium">
        <color theme="1" tint="0.0499"/>
      </right>
      <top/>
      <bottom style="medium">
        <color theme="1" tint="0.0499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45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8466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D0D0D"/>
      <rgbColor rgb="FF2F641C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1.87356815578465</c:v>
                </c:pt>
                <c:pt idx="2">
                  <c:v>3.23445803979731</c:v>
                </c:pt>
                <c:pt idx="3">
                  <c:v>5.05920448504181</c:v>
                </c:pt>
                <c:pt idx="4">
                  <c:v>5.07662463627546</c:v>
                </c:pt>
                <c:pt idx="5">
                  <c:v>4.4010931259197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550882"/>
        <c:axId val="26520487"/>
      </c:lineChart>
      <c:catAx>
        <c:axId val="765508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6520487"/>
        <c:crosses val="autoZero"/>
        <c:auto val="1"/>
        <c:lblAlgn val="ctr"/>
        <c:lblOffset val="100"/>
        <c:noMultiLvlLbl val="0"/>
      </c:catAx>
      <c:valAx>
        <c:axId val="265204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65508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2.02848223227729</c:v>
                </c:pt>
                <c:pt idx="2">
                  <c:v>3.96247746668195</c:v>
                </c:pt>
                <c:pt idx="3">
                  <c:v>5.63345332800024</c:v>
                </c:pt>
                <c:pt idx="4">
                  <c:v>6.56773257571178</c:v>
                </c:pt>
                <c:pt idx="5">
                  <c:v>5.36992123927234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93212"/>
        <c:axId val="68700800"/>
      </c:lineChart>
      <c:catAx>
        <c:axId val="74932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8700800"/>
        <c:crosses val="autoZero"/>
        <c:auto val="1"/>
        <c:lblAlgn val="ctr"/>
        <c:lblOffset val="100"/>
        <c:noMultiLvlLbl val="0"/>
      </c:catAx>
      <c:valAx>
        <c:axId val="687008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493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1800 x 1800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1.73053771448075</c:v>
                </c:pt>
                <c:pt idx="2">
                  <c:v>3.43509354583485</c:v>
                </c:pt>
                <c:pt idx="3">
                  <c:v>6.38005030321251</c:v>
                </c:pt>
                <c:pt idx="4">
                  <c:v>6.25444139174391</c:v>
                </c:pt>
                <c:pt idx="5">
                  <c:v>3.69263735983906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834598"/>
        <c:axId val="30628103"/>
      </c:lineChart>
      <c:catAx>
        <c:axId val="788345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0628103"/>
        <c:crosses val="autoZero"/>
        <c:auto val="1"/>
        <c:lblAlgn val="ctr"/>
        <c:lblOffset val="100"/>
        <c:noMultiLvlLbl val="0"/>
      </c:catAx>
      <c:valAx>
        <c:axId val="306281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8834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5488605639243"/>
          <c:y val="0.031151354045522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2.06579509437103</c:v>
                </c:pt>
                <c:pt idx="2">
                  <c:v>4.42510911030409</c:v>
                </c:pt>
                <c:pt idx="3">
                  <c:v>8.90036323581998</c:v>
                </c:pt>
                <c:pt idx="4">
                  <c:v>7.66319209906867</c:v>
                </c:pt>
                <c:pt idx="5">
                  <c:v>7.20441826817262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340100"/>
        <c:axId val="29925339"/>
      </c:lineChart>
      <c:catAx>
        <c:axId val="723401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9925339"/>
        <c:crosses val="autoZero"/>
        <c:auto val="1"/>
        <c:lblAlgn val="ctr"/>
        <c:lblOffset val="100"/>
        <c:noMultiLvlLbl val="0"/>
      </c:catAx>
      <c:valAx>
        <c:axId val="299253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2340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6494479191"/>
          <c:y val="0.13931250515209"/>
          <c:w val="0.779360667129951"/>
          <c:h val="0.721210122825818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SpeedUp'!$L$8:$R$8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1.92459579922843</c:v>
                </c:pt>
                <c:pt idx="3">
                  <c:v>3.76428454065455</c:v>
                </c:pt>
                <c:pt idx="4">
                  <c:v>6.49326783801864</c:v>
                </c:pt>
                <c:pt idx="5">
                  <c:v>6.39049767569996</c:v>
                </c:pt>
                <c:pt idx="6">
                  <c:v>5.16701749830093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585409"/>
        <c:axId val="8198231"/>
      </c:lineChart>
      <c:catAx>
        <c:axId val="97585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198231"/>
        <c:crosses val="autoZero"/>
        <c:auto val="1"/>
        <c:lblAlgn val="ctr"/>
        <c:lblOffset val="100"/>
        <c:noMultiLvlLbl val="0"/>
      </c:catAx>
      <c:valAx>
        <c:axId val="81982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75854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1.79196212606727</c:v>
                </c:pt>
                <c:pt idx="2">
                  <c:v>3.20451772708788</c:v>
                </c:pt>
                <c:pt idx="3">
                  <c:v>4.81255899172728</c:v>
                </c:pt>
                <c:pt idx="4">
                  <c:v>5.59978034756767</c:v>
                </c:pt>
                <c:pt idx="5">
                  <c:v>5.27629656683711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39419"/>
        <c:axId val="26300302"/>
      </c:lineChart>
      <c:catAx>
        <c:axId val="87394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6300302"/>
        <c:crosses val="autoZero"/>
        <c:auto val="1"/>
        <c:lblAlgn val="ctr"/>
        <c:lblOffset val="100"/>
        <c:noMultiLvlLbl val="0"/>
      </c:catAx>
      <c:valAx>
        <c:axId val="263003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7394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1.78806973601819</c:v>
                </c:pt>
                <c:pt idx="2">
                  <c:v>3.14611602068982</c:v>
                </c:pt>
                <c:pt idx="3">
                  <c:v>4.10430840145849</c:v>
                </c:pt>
                <c:pt idx="4">
                  <c:v>7.19701270792985</c:v>
                </c:pt>
                <c:pt idx="5">
                  <c:v>12.3746464738619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075233"/>
        <c:axId val="91702774"/>
      </c:lineChart>
      <c:catAx>
        <c:axId val="470752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1702774"/>
        <c:crosses val="autoZero"/>
        <c:auto val="1"/>
        <c:lblAlgn val="ctr"/>
        <c:lblOffset val="100"/>
        <c:noMultiLvlLbl val="0"/>
      </c:catAx>
      <c:valAx>
        <c:axId val="917027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70752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1.80923550225132</c:v>
                </c:pt>
                <c:pt idx="2">
                  <c:v>3.50791176118161</c:v>
                </c:pt>
                <c:pt idx="3">
                  <c:v>6.01239697399186</c:v>
                </c:pt>
                <c:pt idx="4">
                  <c:v>6.3746859371635</c:v>
                </c:pt>
                <c:pt idx="5">
                  <c:v>11.3081634732115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936306"/>
        <c:axId val="35426030"/>
      </c:lineChart>
      <c:catAx>
        <c:axId val="55936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5426030"/>
        <c:crosses val="autoZero"/>
        <c:auto val="1"/>
        <c:lblAlgn val="ctr"/>
        <c:lblOffset val="100"/>
        <c:noMultiLvlLbl val="0"/>
      </c:catAx>
      <c:valAx>
        <c:axId val="354260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5936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1.73978927115796</c:v>
                </c:pt>
                <c:pt idx="2">
                  <c:v>3.27337192606007</c:v>
                </c:pt>
                <c:pt idx="3">
                  <c:v>5.36123073010295</c:v>
                </c:pt>
                <c:pt idx="4">
                  <c:v>5.51951641259143</c:v>
                </c:pt>
                <c:pt idx="5">
                  <c:v>7.91746043747127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023102"/>
        <c:axId val="5309075"/>
      </c:lineChart>
      <c:catAx>
        <c:axId val="980231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309075"/>
        <c:crosses val="autoZero"/>
        <c:auto val="1"/>
        <c:lblAlgn val="ctr"/>
        <c:lblOffset val="100"/>
        <c:noMultiLvlLbl val="0"/>
      </c:catAx>
      <c:valAx>
        <c:axId val="53090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80231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SpeedUp'!$L$76:$R$76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1.78226415887369</c:v>
                </c:pt>
                <c:pt idx="3">
                  <c:v>3.28297935875484</c:v>
                </c:pt>
                <c:pt idx="4">
                  <c:v>5.07262377432014</c:v>
                </c:pt>
                <c:pt idx="5">
                  <c:v>6.17274885131312</c:v>
                </c:pt>
                <c:pt idx="6">
                  <c:v>9.21914173784543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7370"/>
        <c:axId val="98760140"/>
      </c:lineChart>
      <c:catAx>
        <c:axId val="5473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8760140"/>
        <c:crosses val="autoZero"/>
        <c:auto val="1"/>
        <c:lblAlgn val="ctr"/>
        <c:lblOffset val="100"/>
        <c:noMultiLvlLbl val="0"/>
      </c:catAx>
      <c:valAx>
        <c:axId val="987601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47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1.87590109573241</c:v>
                </c:pt>
                <c:pt idx="2">
                  <c:v>3.3032909142839</c:v>
                </c:pt>
                <c:pt idx="3">
                  <c:v>5.17886462013036</c:v>
                </c:pt>
                <c:pt idx="4">
                  <c:v>4.9554867888598</c:v>
                </c:pt>
                <c:pt idx="5">
                  <c:v>6.64814459985949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878379"/>
        <c:axId val="25216463"/>
      </c:lineChart>
      <c:catAx>
        <c:axId val="438783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5216463"/>
        <c:crosses val="autoZero"/>
        <c:auto val="1"/>
        <c:lblAlgn val="ctr"/>
        <c:lblOffset val="100"/>
        <c:noMultiLvlLbl val="0"/>
      </c:catAx>
      <c:valAx>
        <c:axId val="252164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3878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947496428985"/>
          <c:y val="0.142075143070416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1.72386344997961</c:v>
                </c:pt>
                <c:pt idx="2">
                  <c:v>3.49203184908146</c:v>
                </c:pt>
                <c:pt idx="3">
                  <c:v>4.73353739707137</c:v>
                </c:pt>
                <c:pt idx="4">
                  <c:v>4.69543524500075</c:v>
                </c:pt>
                <c:pt idx="5">
                  <c:v>4.53722140297527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164683"/>
        <c:axId val="51413467"/>
      </c:lineChart>
      <c:catAx>
        <c:axId val="271646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1413467"/>
        <c:crosses val="autoZero"/>
        <c:auto val="1"/>
        <c:lblAlgn val="ctr"/>
        <c:lblOffset val="100"/>
        <c:noMultiLvlLbl val="0"/>
      </c:catAx>
      <c:valAx>
        <c:axId val="514134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7164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1.75345730223587</c:v>
                </c:pt>
                <c:pt idx="2">
                  <c:v>3.54763567949184</c:v>
                </c:pt>
                <c:pt idx="3">
                  <c:v>6.64651438060658</c:v>
                </c:pt>
                <c:pt idx="4">
                  <c:v>6.5786706467719</c:v>
                </c:pt>
                <c:pt idx="5">
                  <c:v>4.02522154716227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148089"/>
        <c:axId val="22101390"/>
      </c:lineChart>
      <c:catAx>
        <c:axId val="25148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2101390"/>
        <c:crosses val="autoZero"/>
        <c:auto val="1"/>
        <c:lblAlgn val="ctr"/>
        <c:lblOffset val="100"/>
        <c:noMultiLvlLbl val="0"/>
      </c:catAx>
      <c:valAx>
        <c:axId val="221013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5148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2.32415741020848</c:v>
                </c:pt>
                <c:pt idx="2">
                  <c:v>4.96022278739952</c:v>
                </c:pt>
                <c:pt idx="3">
                  <c:v>10.1388190529834</c:v>
                </c:pt>
                <c:pt idx="4">
                  <c:v>8.7495637117122</c:v>
                </c:pt>
                <c:pt idx="5">
                  <c:v>8.59631619780186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028809"/>
        <c:axId val="67070527"/>
      </c:lineChart>
      <c:catAx>
        <c:axId val="510288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7070527"/>
        <c:crosses val="autoZero"/>
        <c:auto val="1"/>
        <c:lblAlgn val="ctr"/>
        <c:lblOffset val="100"/>
        <c:noMultiLvlLbl val="0"/>
      </c:catAx>
      <c:valAx>
        <c:axId val="670705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10288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875188202139"/>
          <c:y val="0.136498516320475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SpeedUp'!$L$144:$R$144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1.91934481453909</c:v>
                </c:pt>
                <c:pt idx="3">
                  <c:v>3.82579530756418</c:v>
                </c:pt>
                <c:pt idx="4">
                  <c:v>6.67443386269791</c:v>
                </c:pt>
                <c:pt idx="5">
                  <c:v>6.24478909808616</c:v>
                </c:pt>
                <c:pt idx="6">
                  <c:v>5.95172593694972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6455693"/>
        <c:axId val="59477125"/>
      </c:lineChart>
      <c:catAx>
        <c:axId val="96455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9477125"/>
        <c:crosses val="autoZero"/>
        <c:auto val="1"/>
        <c:lblAlgn val="ctr"/>
        <c:lblOffset val="100"/>
        <c:noMultiLvlLbl val="0"/>
      </c:catAx>
      <c:valAx>
        <c:axId val="594771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6455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1.79147996081782</c:v>
                </c:pt>
                <c:pt idx="2">
                  <c:v>3.13906438301136</c:v>
                </c:pt>
                <c:pt idx="3">
                  <c:v>4.77618491970884</c:v>
                </c:pt>
                <c:pt idx="4">
                  <c:v>5.54310956342297</c:v>
                </c:pt>
                <c:pt idx="5">
                  <c:v>8.56060153371178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466222"/>
        <c:axId val="71088108"/>
      </c:lineChart>
      <c:catAx>
        <c:axId val="224662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1088108"/>
        <c:crosses val="autoZero"/>
        <c:auto val="1"/>
        <c:lblAlgn val="ctr"/>
        <c:lblOffset val="100"/>
        <c:noMultiLvlLbl val="0"/>
      </c:catAx>
      <c:valAx>
        <c:axId val="710881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24662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1.79876753592499</c:v>
                </c:pt>
                <c:pt idx="2">
                  <c:v>3.29699040103929</c:v>
                </c:pt>
                <c:pt idx="3">
                  <c:v>5.39469765061703</c:v>
                </c:pt>
                <c:pt idx="4">
                  <c:v>7.4327346355838</c:v>
                </c:pt>
                <c:pt idx="5">
                  <c:v>15.3871891315332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241613"/>
        <c:axId val="86644267"/>
      </c:lineChart>
      <c:catAx>
        <c:axId val="452416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6644267"/>
        <c:crosses val="autoZero"/>
        <c:auto val="1"/>
        <c:lblAlgn val="ctr"/>
        <c:lblOffset val="100"/>
        <c:noMultiLvlLbl val="0"/>
      </c:catAx>
      <c:valAx>
        <c:axId val="866442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241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1.78093518218152</c:v>
                </c:pt>
                <c:pt idx="2">
                  <c:v>3.42058998611019</c:v>
                </c:pt>
                <c:pt idx="3">
                  <c:v>5.77350052358593</c:v>
                </c:pt>
                <c:pt idx="4">
                  <c:v>6.30500246270586</c:v>
                </c:pt>
                <c:pt idx="5">
                  <c:v>11.4014136051782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541175"/>
        <c:axId val="45826942"/>
      </c:lineChart>
      <c:catAx>
        <c:axId val="69541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826942"/>
        <c:crosses val="autoZero"/>
        <c:auto val="1"/>
        <c:lblAlgn val="ctr"/>
        <c:lblOffset val="100"/>
        <c:noMultiLvlLbl val="0"/>
      </c:catAx>
      <c:valAx>
        <c:axId val="458269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9541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99382000772499"/>
          <c:y val="0.038707533848326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1.76585111630458</c:v>
                </c:pt>
                <c:pt idx="2">
                  <c:v>3.33219146669669</c:v>
                </c:pt>
                <c:pt idx="3">
                  <c:v>5.29365706891027</c:v>
                </c:pt>
                <c:pt idx="4">
                  <c:v>5.52165171920946</c:v>
                </c:pt>
                <c:pt idx="5">
                  <c:v>9.38307639250677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4424"/>
        <c:axId val="69679391"/>
      </c:lineChart>
      <c:catAx>
        <c:axId val="974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9679391"/>
        <c:crosses val="autoZero"/>
        <c:auto val="1"/>
        <c:lblAlgn val="ctr"/>
        <c:lblOffset val="100"/>
        <c:noMultiLvlLbl val="0"/>
      </c:catAx>
      <c:valAx>
        <c:axId val="696793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74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SpeedUp'!$L$212:$R$212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1.78425844880723</c:v>
                </c:pt>
                <c:pt idx="3">
                  <c:v>3.29720905921438</c:v>
                </c:pt>
                <c:pt idx="4">
                  <c:v>5.30951004070552</c:v>
                </c:pt>
                <c:pt idx="5">
                  <c:v>6.20062459523052</c:v>
                </c:pt>
                <c:pt idx="6">
                  <c:v>11.1830701657325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010087"/>
        <c:axId val="53110014"/>
      </c:lineChart>
      <c:catAx>
        <c:axId val="460100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3110014"/>
        <c:crosses val="autoZero"/>
        <c:auto val="1"/>
        <c:lblAlgn val="ctr"/>
        <c:lblOffset val="100"/>
        <c:noMultiLvlLbl val="0"/>
      </c:catAx>
      <c:valAx>
        <c:axId val="531100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0100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600 x 600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104680</c:v>
                </c:pt>
                <c:pt idx="1">
                  <c:v>55872</c:v>
                </c:pt>
                <c:pt idx="2">
                  <c:v>32364</c:v>
                </c:pt>
                <c:pt idx="3">
                  <c:v>20691</c:v>
                </c:pt>
                <c:pt idx="4">
                  <c:v>20620</c:v>
                </c:pt>
                <c:pt idx="5">
                  <c:v>23785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86679</c:v>
                </c:pt>
                <c:pt idx="1">
                  <c:v>48371</c:v>
                </c:pt>
                <c:pt idx="2">
                  <c:v>27049</c:v>
                </c:pt>
                <c:pt idx="3">
                  <c:v>18011</c:v>
                </c:pt>
                <c:pt idx="4">
                  <c:v>15479</c:v>
                </c:pt>
                <c:pt idx="5">
                  <c:v>16428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104090</c:v>
                </c:pt>
                <c:pt idx="1">
                  <c:v>55488</c:v>
                </c:pt>
                <c:pt idx="2">
                  <c:v>31511</c:v>
                </c:pt>
                <c:pt idx="3">
                  <c:v>20099</c:v>
                </c:pt>
                <c:pt idx="4">
                  <c:v>21005</c:v>
                </c:pt>
                <c:pt idx="5">
                  <c:v>15657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85957</c:v>
                </c:pt>
                <c:pt idx="1">
                  <c:v>47981</c:v>
                </c:pt>
                <c:pt idx="2">
                  <c:v>27383</c:v>
                </c:pt>
                <c:pt idx="3">
                  <c:v>17997</c:v>
                </c:pt>
                <c:pt idx="4">
                  <c:v>15507</c:v>
                </c:pt>
                <c:pt idx="5">
                  <c:v>10041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279938"/>
        <c:axId val="63972567"/>
      </c:lineChart>
      <c:catAx>
        <c:axId val="492799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3972567"/>
        <c:crosses val="autoZero"/>
        <c:auto val="1"/>
        <c:lblAlgn val="ctr"/>
        <c:lblOffset val="100"/>
        <c:noMultiLvlLbl val="0"/>
      </c:catAx>
      <c:valAx>
        <c:axId val="639725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279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1521100</c:v>
                </c:pt>
                <c:pt idx="1">
                  <c:v>749871</c:v>
                </c:pt>
                <c:pt idx="2">
                  <c:v>383876</c:v>
                </c:pt>
                <c:pt idx="3">
                  <c:v>270012</c:v>
                </c:pt>
                <c:pt idx="4">
                  <c:v>231602</c:v>
                </c:pt>
                <c:pt idx="5">
                  <c:v>283263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813831</c:v>
                </c:pt>
                <c:pt idx="1">
                  <c:v>455145</c:v>
                </c:pt>
                <c:pt idx="2">
                  <c:v>258678</c:v>
                </c:pt>
                <c:pt idx="3">
                  <c:v>198287</c:v>
                </c:pt>
                <c:pt idx="4">
                  <c:v>113079</c:v>
                </c:pt>
                <c:pt idx="5">
                  <c:v>65766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070c0"/>
            </a:solidFill>
            <a:ln cap="rnd" w="28440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1187654</c:v>
                </c:pt>
                <c:pt idx="1">
                  <c:v>688949</c:v>
                </c:pt>
                <c:pt idx="2">
                  <c:v>340104</c:v>
                </c:pt>
                <c:pt idx="3">
                  <c:v>250902</c:v>
                </c:pt>
                <c:pt idx="4">
                  <c:v>252938</c:v>
                </c:pt>
                <c:pt idx="5">
                  <c:v>261758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822276</c:v>
                </c:pt>
                <c:pt idx="1">
                  <c:v>457133</c:v>
                </c:pt>
                <c:pt idx="2">
                  <c:v>249402</c:v>
                </c:pt>
                <c:pt idx="3">
                  <c:v>152423</c:v>
                </c:pt>
                <c:pt idx="4">
                  <c:v>110629</c:v>
                </c:pt>
                <c:pt idx="5">
                  <c:v>53439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475011"/>
        <c:axId val="15473013"/>
      </c:lineChart>
      <c:catAx>
        <c:axId val="334750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5473013"/>
        <c:crosses val="autoZero"/>
        <c:auto val="1"/>
        <c:lblAlgn val="ctr"/>
        <c:lblOffset val="100"/>
        <c:noMultiLvlLbl val="0"/>
      </c:catAx>
      <c:valAx>
        <c:axId val="154730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475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4350333</c:v>
                </c:pt>
                <c:pt idx="1">
                  <c:v>2513862</c:v>
                </c:pt>
                <c:pt idx="2">
                  <c:v>1266438</c:v>
                </c:pt>
                <c:pt idx="3">
                  <c:v>681865</c:v>
                </c:pt>
                <c:pt idx="4">
                  <c:v>695559</c:v>
                </c:pt>
                <c:pt idx="5">
                  <c:v>1178110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2664045</c:v>
                </c:pt>
                <c:pt idx="1">
                  <c:v>1472470</c:v>
                </c:pt>
                <c:pt idx="2">
                  <c:v>759439</c:v>
                </c:pt>
                <c:pt idx="3">
                  <c:v>443092</c:v>
                </c:pt>
                <c:pt idx="4">
                  <c:v>417910</c:v>
                </c:pt>
                <c:pt idx="5">
                  <c:v>235586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4570788</c:v>
                </c:pt>
                <c:pt idx="1">
                  <c:v>2606729</c:v>
                </c:pt>
                <c:pt idx="2">
                  <c:v>1288404</c:v>
                </c:pt>
                <c:pt idx="3">
                  <c:v>687697</c:v>
                </c:pt>
                <c:pt idx="4">
                  <c:v>694789</c:v>
                </c:pt>
                <c:pt idx="5">
                  <c:v>1135537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2585795</c:v>
                </c:pt>
                <c:pt idx="1">
                  <c:v>1451931</c:v>
                </c:pt>
                <c:pt idx="2">
                  <c:v>755950</c:v>
                </c:pt>
                <c:pt idx="3">
                  <c:v>447873</c:v>
                </c:pt>
                <c:pt idx="4">
                  <c:v>410118</c:v>
                </c:pt>
                <c:pt idx="5">
                  <c:v>226796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805580"/>
        <c:axId val="80557868"/>
      </c:lineChart>
      <c:catAx>
        <c:axId val="758055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0557868"/>
        <c:crosses val="autoZero"/>
        <c:auto val="1"/>
        <c:lblAlgn val="ctr"/>
        <c:lblOffset val="100"/>
        <c:noMultiLvlLbl val="0"/>
      </c:catAx>
      <c:valAx>
        <c:axId val="805578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5805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4800 x 4800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35940984</c:v>
                </c:pt>
                <c:pt idx="1">
                  <c:v>17398136</c:v>
                </c:pt>
                <c:pt idx="2">
                  <c:v>8122056</c:v>
                </c:pt>
                <c:pt idx="3">
                  <c:v>4038148</c:v>
                </c:pt>
                <c:pt idx="4">
                  <c:v>4690080</c:v>
                </c:pt>
                <c:pt idx="5">
                  <c:v>4988742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6492563</c:v>
                </c:pt>
                <c:pt idx="1">
                  <c:v>3731810</c:v>
                </c:pt>
                <c:pt idx="2">
                  <c:v>1983448</c:v>
                </c:pt>
                <c:pt idx="3">
                  <c:v>1211021</c:v>
                </c:pt>
                <c:pt idx="4">
                  <c:v>1176292</c:v>
                </c:pt>
                <c:pt idx="5">
                  <c:v>820031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40465061</c:v>
                </c:pt>
                <c:pt idx="1">
                  <c:v>17410637</c:v>
                </c:pt>
                <c:pt idx="2">
                  <c:v>8157912</c:v>
                </c:pt>
                <c:pt idx="3">
                  <c:v>3991102</c:v>
                </c:pt>
                <c:pt idx="4">
                  <c:v>4624809</c:v>
                </c:pt>
                <c:pt idx="5">
                  <c:v>4707256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6393769</c:v>
                </c:pt>
                <c:pt idx="1">
                  <c:v>3620786</c:v>
                </c:pt>
                <c:pt idx="2">
                  <c:v>1918788</c:v>
                </c:pt>
                <c:pt idx="3">
                  <c:v>1207817</c:v>
                </c:pt>
                <c:pt idx="4">
                  <c:v>1157945</c:v>
                </c:pt>
                <c:pt idx="5">
                  <c:v>681415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975963"/>
        <c:axId val="61485872"/>
      </c:lineChart>
      <c:catAx>
        <c:axId val="759759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1485872"/>
        <c:crosses val="autoZero"/>
        <c:auto val="1"/>
        <c:lblAlgn val="ctr"/>
        <c:lblOffset val="100"/>
        <c:noMultiLvlLbl val="0"/>
      </c:catAx>
      <c:valAx>
        <c:axId val="614858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5975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12240</xdr:colOff>
      <xdr:row>20</xdr:row>
      <xdr:rowOff>39960</xdr:rowOff>
    </xdr:from>
    <xdr:to>
      <xdr:col>11</xdr:col>
      <xdr:colOff>758160</xdr:colOff>
      <xdr:row>44</xdr:row>
      <xdr:rowOff>36360</xdr:rowOff>
    </xdr:to>
    <xdr:graphicFrame>
      <xdr:nvGraphicFramePr>
        <xdr:cNvPr id="0" name="Gráfico 1"/>
        <xdr:cNvGraphicFramePr/>
      </xdr:nvGraphicFramePr>
      <xdr:xfrm>
        <a:off x="1707840" y="39085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36720</xdr:rowOff>
    </xdr:from>
    <xdr:to>
      <xdr:col>23</xdr:col>
      <xdr:colOff>847440</xdr:colOff>
      <xdr:row>44</xdr:row>
      <xdr:rowOff>33480</xdr:rowOff>
    </xdr:to>
    <xdr:graphicFrame>
      <xdr:nvGraphicFramePr>
        <xdr:cNvPr id="1" name="Gráfico 4"/>
        <xdr:cNvGraphicFramePr/>
      </xdr:nvGraphicFramePr>
      <xdr:xfrm>
        <a:off x="12397680" y="39052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10440</xdr:colOff>
      <xdr:row>45</xdr:row>
      <xdr:rowOff>37080</xdr:rowOff>
    </xdr:from>
    <xdr:to>
      <xdr:col>11</xdr:col>
      <xdr:colOff>756000</xdr:colOff>
      <xdr:row>69</xdr:row>
      <xdr:rowOff>42120</xdr:rowOff>
    </xdr:to>
    <xdr:graphicFrame>
      <xdr:nvGraphicFramePr>
        <xdr:cNvPr id="2" name="Gráfico 5"/>
        <xdr:cNvGraphicFramePr/>
      </xdr:nvGraphicFramePr>
      <xdr:xfrm>
        <a:off x="1706040" y="84297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760320</xdr:colOff>
      <xdr:row>45</xdr:row>
      <xdr:rowOff>43560</xdr:rowOff>
    </xdr:from>
    <xdr:to>
      <xdr:col>23</xdr:col>
      <xdr:colOff>755280</xdr:colOff>
      <xdr:row>69</xdr:row>
      <xdr:rowOff>33480</xdr:rowOff>
    </xdr:to>
    <xdr:graphicFrame>
      <xdr:nvGraphicFramePr>
        <xdr:cNvPr id="3" name="Gráfico 6"/>
        <xdr:cNvGraphicFramePr/>
      </xdr:nvGraphicFramePr>
      <xdr:xfrm>
        <a:off x="12310200" y="843624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33</xdr:row>
      <xdr:rowOff>28080</xdr:rowOff>
    </xdr:from>
    <xdr:to>
      <xdr:col>35</xdr:col>
      <xdr:colOff>847080</xdr:colOff>
      <xdr:row>57</xdr:row>
      <xdr:rowOff>51480</xdr:rowOff>
    </xdr:to>
    <xdr:graphicFrame>
      <xdr:nvGraphicFramePr>
        <xdr:cNvPr id="4" name="Gráfico 7"/>
        <xdr:cNvGraphicFramePr/>
      </xdr:nvGraphicFramePr>
      <xdr:xfrm>
        <a:off x="22570560" y="6249240"/>
        <a:ext cx="9324360" cy="436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12240</xdr:colOff>
      <xdr:row>88</xdr:row>
      <xdr:rowOff>77040</xdr:rowOff>
    </xdr:from>
    <xdr:to>
      <xdr:col>11</xdr:col>
      <xdr:colOff>758160</xdr:colOff>
      <xdr:row>112</xdr:row>
      <xdr:rowOff>73440</xdr:rowOff>
    </xdr:to>
    <xdr:graphicFrame>
      <xdr:nvGraphicFramePr>
        <xdr:cNvPr id="5" name="Gráfico 8"/>
        <xdr:cNvGraphicFramePr/>
      </xdr:nvGraphicFramePr>
      <xdr:xfrm>
        <a:off x="1707840" y="166816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88</xdr:row>
      <xdr:rowOff>73800</xdr:rowOff>
    </xdr:from>
    <xdr:to>
      <xdr:col>23</xdr:col>
      <xdr:colOff>847440</xdr:colOff>
      <xdr:row>112</xdr:row>
      <xdr:rowOff>70560</xdr:rowOff>
    </xdr:to>
    <xdr:graphicFrame>
      <xdr:nvGraphicFramePr>
        <xdr:cNvPr id="6" name="Gráfico 9"/>
        <xdr:cNvGraphicFramePr/>
      </xdr:nvGraphicFramePr>
      <xdr:xfrm>
        <a:off x="12397680" y="166784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10440</xdr:colOff>
      <xdr:row>113</xdr:row>
      <xdr:rowOff>73440</xdr:rowOff>
    </xdr:from>
    <xdr:to>
      <xdr:col>11</xdr:col>
      <xdr:colOff>756000</xdr:colOff>
      <xdr:row>137</xdr:row>
      <xdr:rowOff>78480</xdr:rowOff>
    </xdr:to>
    <xdr:graphicFrame>
      <xdr:nvGraphicFramePr>
        <xdr:cNvPr id="7" name="Gráfico 10"/>
        <xdr:cNvGraphicFramePr/>
      </xdr:nvGraphicFramePr>
      <xdr:xfrm>
        <a:off x="1706040" y="212025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760320</xdr:colOff>
      <xdr:row>113</xdr:row>
      <xdr:rowOff>79920</xdr:rowOff>
    </xdr:from>
    <xdr:to>
      <xdr:col>23</xdr:col>
      <xdr:colOff>755280</xdr:colOff>
      <xdr:row>137</xdr:row>
      <xdr:rowOff>70200</xdr:rowOff>
    </xdr:to>
    <xdr:graphicFrame>
      <xdr:nvGraphicFramePr>
        <xdr:cNvPr id="8" name="Gráfico 11"/>
        <xdr:cNvGraphicFramePr/>
      </xdr:nvGraphicFramePr>
      <xdr:xfrm>
        <a:off x="12310200" y="2120904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743760</xdr:colOff>
      <xdr:row>101</xdr:row>
      <xdr:rowOff>37800</xdr:rowOff>
    </xdr:from>
    <xdr:to>
      <xdr:col>35</xdr:col>
      <xdr:colOff>743400</xdr:colOff>
      <xdr:row>125</xdr:row>
      <xdr:rowOff>61560</xdr:rowOff>
    </xdr:to>
    <xdr:graphicFrame>
      <xdr:nvGraphicFramePr>
        <xdr:cNvPr id="9" name="Gráfico 12"/>
        <xdr:cNvGraphicFramePr/>
      </xdr:nvGraphicFramePr>
      <xdr:xfrm>
        <a:off x="22466520" y="1899504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12240</xdr:colOff>
      <xdr:row>156</xdr:row>
      <xdr:rowOff>113760</xdr:rowOff>
    </xdr:from>
    <xdr:to>
      <xdr:col>11</xdr:col>
      <xdr:colOff>758160</xdr:colOff>
      <xdr:row>180</xdr:row>
      <xdr:rowOff>110160</xdr:rowOff>
    </xdr:to>
    <xdr:graphicFrame>
      <xdr:nvGraphicFramePr>
        <xdr:cNvPr id="10" name="Gráfico 13"/>
        <xdr:cNvGraphicFramePr/>
      </xdr:nvGraphicFramePr>
      <xdr:xfrm>
        <a:off x="1707840" y="294544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13</xdr:col>
      <xdr:colOff>0</xdr:colOff>
      <xdr:row>156</xdr:row>
      <xdr:rowOff>110520</xdr:rowOff>
    </xdr:from>
    <xdr:to>
      <xdr:col>23</xdr:col>
      <xdr:colOff>847440</xdr:colOff>
      <xdr:row>180</xdr:row>
      <xdr:rowOff>107280</xdr:rowOff>
    </xdr:to>
    <xdr:graphicFrame>
      <xdr:nvGraphicFramePr>
        <xdr:cNvPr id="11" name="Gráfico 14"/>
        <xdr:cNvGraphicFramePr/>
      </xdr:nvGraphicFramePr>
      <xdr:xfrm>
        <a:off x="12397680" y="294512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10440</xdr:colOff>
      <xdr:row>181</xdr:row>
      <xdr:rowOff>110520</xdr:rowOff>
    </xdr:from>
    <xdr:to>
      <xdr:col>11</xdr:col>
      <xdr:colOff>756000</xdr:colOff>
      <xdr:row>205</xdr:row>
      <xdr:rowOff>115560</xdr:rowOff>
    </xdr:to>
    <xdr:graphicFrame>
      <xdr:nvGraphicFramePr>
        <xdr:cNvPr id="12" name="Gráfico 15"/>
        <xdr:cNvGraphicFramePr/>
      </xdr:nvGraphicFramePr>
      <xdr:xfrm>
        <a:off x="1706040" y="3397572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760320</xdr:colOff>
      <xdr:row>181</xdr:row>
      <xdr:rowOff>117000</xdr:rowOff>
    </xdr:from>
    <xdr:to>
      <xdr:col>23</xdr:col>
      <xdr:colOff>755280</xdr:colOff>
      <xdr:row>205</xdr:row>
      <xdr:rowOff>106920</xdr:rowOff>
    </xdr:to>
    <xdr:graphicFrame>
      <xdr:nvGraphicFramePr>
        <xdr:cNvPr id="13" name="Gráfico 16"/>
        <xdr:cNvGraphicFramePr/>
      </xdr:nvGraphicFramePr>
      <xdr:xfrm>
        <a:off x="12310200" y="3398220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743760</xdr:colOff>
      <xdr:row>169</xdr:row>
      <xdr:rowOff>74880</xdr:rowOff>
    </xdr:from>
    <xdr:to>
      <xdr:col>35</xdr:col>
      <xdr:colOff>743400</xdr:colOff>
      <xdr:row>193</xdr:row>
      <xdr:rowOff>98640</xdr:rowOff>
    </xdr:to>
    <xdr:graphicFrame>
      <xdr:nvGraphicFramePr>
        <xdr:cNvPr id="14" name="Gráfico 17"/>
        <xdr:cNvGraphicFramePr/>
      </xdr:nvGraphicFramePr>
      <xdr:xfrm>
        <a:off x="22466520" y="3176820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12240</xdr:colOff>
      <xdr:row>224</xdr:row>
      <xdr:rowOff>150840</xdr:rowOff>
    </xdr:from>
    <xdr:to>
      <xdr:col>11</xdr:col>
      <xdr:colOff>758160</xdr:colOff>
      <xdr:row>248</xdr:row>
      <xdr:rowOff>147240</xdr:rowOff>
    </xdr:to>
    <xdr:graphicFrame>
      <xdr:nvGraphicFramePr>
        <xdr:cNvPr id="15" name="Gráfico 18"/>
        <xdr:cNvGraphicFramePr/>
      </xdr:nvGraphicFramePr>
      <xdr:xfrm>
        <a:off x="1707840" y="422467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0</xdr:colOff>
      <xdr:row>224</xdr:row>
      <xdr:rowOff>147600</xdr:rowOff>
    </xdr:from>
    <xdr:to>
      <xdr:col>23</xdr:col>
      <xdr:colOff>847440</xdr:colOff>
      <xdr:row>248</xdr:row>
      <xdr:rowOff>144360</xdr:rowOff>
    </xdr:to>
    <xdr:graphicFrame>
      <xdr:nvGraphicFramePr>
        <xdr:cNvPr id="16" name="Gráfico 19"/>
        <xdr:cNvGraphicFramePr/>
      </xdr:nvGraphicFramePr>
      <xdr:xfrm>
        <a:off x="12397680" y="422434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</xdr:col>
      <xdr:colOff>10440</xdr:colOff>
      <xdr:row>249</xdr:row>
      <xdr:rowOff>147240</xdr:rowOff>
    </xdr:from>
    <xdr:to>
      <xdr:col>11</xdr:col>
      <xdr:colOff>756000</xdr:colOff>
      <xdr:row>273</xdr:row>
      <xdr:rowOff>152280</xdr:rowOff>
    </xdr:to>
    <xdr:graphicFrame>
      <xdr:nvGraphicFramePr>
        <xdr:cNvPr id="17" name="Gráfico 20"/>
        <xdr:cNvGraphicFramePr/>
      </xdr:nvGraphicFramePr>
      <xdr:xfrm>
        <a:off x="1706040" y="4676760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760320</xdr:colOff>
      <xdr:row>249</xdr:row>
      <xdr:rowOff>153720</xdr:rowOff>
    </xdr:from>
    <xdr:to>
      <xdr:col>23</xdr:col>
      <xdr:colOff>755280</xdr:colOff>
      <xdr:row>273</xdr:row>
      <xdr:rowOff>144000</xdr:rowOff>
    </xdr:to>
    <xdr:graphicFrame>
      <xdr:nvGraphicFramePr>
        <xdr:cNvPr id="18" name="Gráfico 21"/>
        <xdr:cNvGraphicFramePr/>
      </xdr:nvGraphicFramePr>
      <xdr:xfrm>
        <a:off x="12310200" y="4677408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24</xdr:col>
      <xdr:colOff>743760</xdr:colOff>
      <xdr:row>237</xdr:row>
      <xdr:rowOff>111240</xdr:rowOff>
    </xdr:from>
    <xdr:to>
      <xdr:col>35</xdr:col>
      <xdr:colOff>743400</xdr:colOff>
      <xdr:row>261</xdr:row>
      <xdr:rowOff>135000</xdr:rowOff>
    </xdr:to>
    <xdr:graphicFrame>
      <xdr:nvGraphicFramePr>
        <xdr:cNvPr id="19" name="Gráfico 22"/>
        <xdr:cNvGraphicFramePr/>
      </xdr:nvGraphicFramePr>
      <xdr:xfrm>
        <a:off x="22466520" y="4456008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10</xdr:row>
      <xdr:rowOff>36720</xdr:rowOff>
    </xdr:from>
    <xdr:to>
      <xdr:col>13</xdr:col>
      <xdr:colOff>847440</xdr:colOff>
      <xdr:row>36</xdr:row>
      <xdr:rowOff>36360</xdr:rowOff>
    </xdr:to>
    <xdr:graphicFrame>
      <xdr:nvGraphicFramePr>
        <xdr:cNvPr id="20" name="Gráfico 1"/>
        <xdr:cNvGraphicFramePr/>
      </xdr:nvGraphicFramePr>
      <xdr:xfrm>
        <a:off x="1093320" y="209556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83160</xdr:rowOff>
    </xdr:from>
    <xdr:to>
      <xdr:col>13</xdr:col>
      <xdr:colOff>847440</xdr:colOff>
      <xdr:row>74</xdr:row>
      <xdr:rowOff>82800</xdr:rowOff>
    </xdr:to>
    <xdr:graphicFrame>
      <xdr:nvGraphicFramePr>
        <xdr:cNvPr id="21" name="Gráfico 2"/>
        <xdr:cNvGraphicFramePr/>
      </xdr:nvGraphicFramePr>
      <xdr:xfrm>
        <a:off x="1093320" y="926784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86</xdr:row>
      <xdr:rowOff>129600</xdr:rowOff>
    </xdr:from>
    <xdr:to>
      <xdr:col>13</xdr:col>
      <xdr:colOff>847440</xdr:colOff>
      <xdr:row>112</xdr:row>
      <xdr:rowOff>129240</xdr:rowOff>
    </xdr:to>
    <xdr:graphicFrame>
      <xdr:nvGraphicFramePr>
        <xdr:cNvPr id="22" name="Gráfico 3"/>
        <xdr:cNvGraphicFramePr/>
      </xdr:nvGraphicFramePr>
      <xdr:xfrm>
        <a:off x="1093320" y="1644012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124</xdr:row>
      <xdr:rowOff>175680</xdr:rowOff>
    </xdr:from>
    <xdr:to>
      <xdr:col>13</xdr:col>
      <xdr:colOff>847440</xdr:colOff>
      <xdr:row>150</xdr:row>
      <xdr:rowOff>175680</xdr:rowOff>
    </xdr:to>
    <xdr:graphicFrame>
      <xdr:nvGraphicFramePr>
        <xdr:cNvPr id="23" name="Gráfico 4"/>
        <xdr:cNvGraphicFramePr/>
      </xdr:nvGraphicFramePr>
      <xdr:xfrm>
        <a:off x="1093320" y="2361240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146"/>
  <sheetViews>
    <sheetView showFormulas="false" showGridLines="true" showRowColHeaders="true" showZeros="true" rightToLeft="false" tabSelected="true" showOutlineSymbols="true" defaultGridColor="true" view="normal" topLeftCell="A1" colorId="64" zoomScale="36" zoomScaleNormal="36" zoomScalePageLayoutView="100" workbookViewId="0">
      <selection pane="topLeft" activeCell="U16" activeCellId="0" sqref="U16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.56"/>
    <col collapsed="false" customWidth="true" hidden="false" outlineLevel="0" max="3" min="3" style="0" width="24.45"/>
    <col collapsed="false" customWidth="true" hidden="false" outlineLevel="0" max="4" min="4" style="0" width="16.55"/>
    <col collapsed="false" customWidth="true" hidden="false" outlineLevel="0" max="5" min="5" style="0" width="10.78"/>
    <col collapsed="false" customWidth="true" hidden="false" outlineLevel="0" max="7" min="7" style="0" width="10.89"/>
    <col collapsed="false" customWidth="true" hidden="false" outlineLevel="0" max="11" min="11" style="0" width="16.55"/>
    <col collapsed="false" customWidth="true" hidden="false" outlineLevel="0" max="19" min="19" style="0" width="16.55"/>
    <col collapsed="false" customWidth="true" hidden="false" outlineLevel="0" max="21" min="21" style="0" width="12.22"/>
    <col collapsed="false" customWidth="true" hidden="false" outlineLevel="0" max="26" min="26" style="0" width="10.89"/>
    <col collapsed="false" customWidth="true" hidden="false" outlineLevel="0" max="27" min="27" style="0" width="17.78"/>
    <col collapsed="false" customWidth="true" hidden="false" outlineLevel="0" max="28" min="28" style="0" width="7.55"/>
    <col collapsed="false" customWidth="true" hidden="false" outlineLevel="0" max="29" min="29" style="0" width="17.89"/>
    <col collapsed="false" customWidth="true" hidden="false" outlineLevel="0" max="30" min="30" style="0" width="13.89"/>
    <col collapsed="false" customWidth="true" hidden="false" outlineLevel="0" max="35" min="35" style="0" width="1.89"/>
    <col collapsed="false" customWidth="true" hidden="false" outlineLevel="0" max="60" min="60" style="0" width="4.33"/>
    <col collapsed="false" customWidth="true" hidden="false" outlineLevel="0" max="67" min="67" style="0" width="10.89"/>
  </cols>
  <sheetData>
    <row r="2" customFormat="false" ht="33.85" hidden="false" customHeight="false" outlineLevel="0" collapsed="false">
      <c r="B2" s="1" t="s">
        <v>0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</row>
    <row r="3" customFormat="false" ht="14.25" hidden="false" customHeight="false" outlineLevel="0" collapsed="false">
      <c r="B3" s="5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</row>
    <row r="4" customFormat="false" ht="14.25" hidden="false" customHeight="false" outlineLevel="0" collapsed="false">
      <c r="B4" s="9"/>
      <c r="C4" s="10" t="s">
        <v>1</v>
      </c>
      <c r="D4" s="11"/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2" t="s">
        <v>8</v>
      </c>
      <c r="L4" s="12"/>
      <c r="M4" s="11" t="s">
        <v>2</v>
      </c>
      <c r="N4" s="11" t="s">
        <v>3</v>
      </c>
      <c r="O4" s="11" t="s">
        <v>4</v>
      </c>
      <c r="P4" s="11" t="s">
        <v>5</v>
      </c>
      <c r="Q4" s="11" t="s">
        <v>6</v>
      </c>
      <c r="R4" s="11" t="s">
        <v>7</v>
      </c>
      <c r="S4" s="12" t="s">
        <v>9</v>
      </c>
      <c r="T4" s="12"/>
      <c r="U4" s="11" t="s">
        <v>2</v>
      </c>
      <c r="V4" s="11" t="s">
        <v>3</v>
      </c>
      <c r="W4" s="11" t="s">
        <v>4</v>
      </c>
      <c r="X4" s="11" t="s">
        <v>5</v>
      </c>
      <c r="Y4" s="11" t="s">
        <v>6</v>
      </c>
      <c r="Z4" s="11" t="s">
        <v>7</v>
      </c>
      <c r="AA4" s="12" t="s">
        <v>10</v>
      </c>
      <c r="AB4" s="12"/>
      <c r="AC4" s="11" t="s">
        <v>2</v>
      </c>
      <c r="AD4" s="11" t="s">
        <v>3</v>
      </c>
      <c r="AE4" s="11" t="s">
        <v>4</v>
      </c>
      <c r="AF4" s="11" t="s">
        <v>5</v>
      </c>
      <c r="AG4" s="11" t="s">
        <v>6</v>
      </c>
      <c r="AH4" s="13" t="s">
        <v>7</v>
      </c>
      <c r="AI4" s="8"/>
    </row>
    <row r="5" customFormat="false" ht="16.4" hidden="false" customHeight="false" outlineLevel="0" collapsed="false">
      <c r="B5" s="9"/>
      <c r="C5" s="14"/>
      <c r="D5" s="15" t="s">
        <v>11</v>
      </c>
      <c r="E5" s="16" t="n">
        <v>108213</v>
      </c>
      <c r="F5" s="16" t="n">
        <v>54174</v>
      </c>
      <c r="G5" s="16" t="n">
        <v>27374</v>
      </c>
      <c r="H5" s="16" t="n">
        <v>20902</v>
      </c>
      <c r="I5" s="16" t="n">
        <v>28251</v>
      </c>
      <c r="J5" s="16" t="n">
        <v>22329</v>
      </c>
      <c r="K5" s="7"/>
      <c r="L5" s="7"/>
      <c r="M5" s="16" t="n">
        <v>1556395</v>
      </c>
      <c r="N5" s="16" t="n">
        <v>657649</v>
      </c>
      <c r="O5" s="16" t="n">
        <v>357276</v>
      </c>
      <c r="P5" s="16" t="n">
        <v>265514</v>
      </c>
      <c r="Q5" s="16" t="n">
        <v>201907</v>
      </c>
      <c r="R5" s="16" t="n">
        <v>280547</v>
      </c>
      <c r="S5" s="7"/>
      <c r="T5" s="7"/>
      <c r="U5" s="16" t="n">
        <v>4410236</v>
      </c>
      <c r="V5" s="16" t="n">
        <v>2460319</v>
      </c>
      <c r="W5" s="16" t="n">
        <v>1315527</v>
      </c>
      <c r="X5" s="16" t="n">
        <v>640443</v>
      </c>
      <c r="Y5" s="16" t="n">
        <v>703079</v>
      </c>
      <c r="Z5" s="16" t="n">
        <v>1179466</v>
      </c>
      <c r="AA5" s="7"/>
      <c r="AB5" s="7"/>
      <c r="AC5" s="16" t="n">
        <v>32405363</v>
      </c>
      <c r="AD5" s="16" t="n">
        <v>17293153</v>
      </c>
      <c r="AE5" s="16" t="n">
        <v>8066768</v>
      </c>
      <c r="AF5" s="16" t="n">
        <v>4077719</v>
      </c>
      <c r="AG5" s="16" t="n">
        <v>4651610</v>
      </c>
      <c r="AH5" s="16" t="n">
        <v>5177529</v>
      </c>
      <c r="AI5" s="8"/>
    </row>
    <row r="6" customFormat="false" ht="16.4" hidden="false" customHeight="false" outlineLevel="0" collapsed="false">
      <c r="B6" s="9"/>
      <c r="C6" s="14"/>
      <c r="D6" s="15" t="s">
        <v>12</v>
      </c>
      <c r="E6" s="16" t="n">
        <v>104489</v>
      </c>
      <c r="F6" s="16" t="n">
        <v>57677</v>
      </c>
      <c r="G6" s="16" t="n">
        <v>30184</v>
      </c>
      <c r="H6" s="16" t="n">
        <v>21226</v>
      </c>
      <c r="I6" s="16" t="n">
        <v>24080</v>
      </c>
      <c r="J6" s="16" t="n">
        <v>20815</v>
      </c>
      <c r="K6" s="7"/>
      <c r="L6" s="7"/>
      <c r="M6" s="16" t="n">
        <v>1513051</v>
      </c>
      <c r="N6" s="16" t="n">
        <v>714835</v>
      </c>
      <c r="O6" s="16" t="n">
        <v>358539</v>
      </c>
      <c r="P6" s="16" t="n">
        <v>232963</v>
      </c>
      <c r="Q6" s="16" t="n">
        <v>199895</v>
      </c>
      <c r="R6" s="16" t="n">
        <v>280277</v>
      </c>
      <c r="S6" s="7"/>
      <c r="T6" s="7"/>
      <c r="U6" s="16" t="n">
        <v>4330975</v>
      </c>
      <c r="V6" s="16" t="n">
        <v>2459856</v>
      </c>
      <c r="W6" s="16" t="n">
        <v>1232866</v>
      </c>
      <c r="X6" s="16" t="n">
        <v>673071</v>
      </c>
      <c r="Y6" s="16" t="n">
        <v>752102</v>
      </c>
      <c r="Z6" s="16" t="n">
        <v>1173848</v>
      </c>
      <c r="AA6" s="7"/>
      <c r="AB6" s="7"/>
      <c r="AC6" s="16" t="n">
        <v>32202624</v>
      </c>
      <c r="AD6" s="16" t="n">
        <v>17349038</v>
      </c>
      <c r="AE6" s="16" t="n">
        <v>8099407</v>
      </c>
      <c r="AF6" s="16" t="n">
        <v>4072382</v>
      </c>
      <c r="AG6" s="16" t="n">
        <v>4670180</v>
      </c>
      <c r="AH6" s="16" t="n">
        <v>5037314</v>
      </c>
      <c r="AI6" s="8"/>
    </row>
    <row r="7" customFormat="false" ht="16.4" hidden="false" customHeight="false" outlineLevel="0" collapsed="false">
      <c r="B7" s="9"/>
      <c r="C7" s="14"/>
      <c r="D7" s="15" t="s">
        <v>13</v>
      </c>
      <c r="E7" s="16" t="n">
        <v>103183</v>
      </c>
      <c r="F7" s="16" t="n">
        <v>55630</v>
      </c>
      <c r="G7" s="16" t="n">
        <v>36610</v>
      </c>
      <c r="H7" s="16" t="n">
        <v>19713</v>
      </c>
      <c r="I7" s="16" t="n">
        <v>19236</v>
      </c>
      <c r="J7" s="16" t="n">
        <v>22894</v>
      </c>
      <c r="K7" s="7"/>
      <c r="L7" s="7"/>
      <c r="M7" s="16" t="n">
        <v>1516908</v>
      </c>
      <c r="N7" s="16" t="n">
        <v>774443</v>
      </c>
      <c r="O7" s="16" t="n">
        <v>358265</v>
      </c>
      <c r="P7" s="16" t="n">
        <v>239936</v>
      </c>
      <c r="Q7" s="16" t="n">
        <v>201272</v>
      </c>
      <c r="R7" s="16" t="n">
        <v>283167</v>
      </c>
      <c r="S7" s="7"/>
      <c r="T7" s="7"/>
      <c r="U7" s="16" t="n">
        <v>4385248</v>
      </c>
      <c r="V7" s="16" t="n">
        <v>2592279</v>
      </c>
      <c r="W7" s="16" t="n">
        <v>1312617</v>
      </c>
      <c r="X7" s="16" t="n">
        <v>674376</v>
      </c>
      <c r="Y7" s="16" t="n">
        <v>699371</v>
      </c>
      <c r="Z7" s="16" t="n">
        <v>1192472</v>
      </c>
      <c r="AA7" s="7"/>
      <c r="AB7" s="7"/>
      <c r="AC7" s="16" t="n">
        <v>32538952</v>
      </c>
      <c r="AD7" s="16" t="n">
        <v>17397351</v>
      </c>
      <c r="AE7" s="16" t="n">
        <v>8131190</v>
      </c>
      <c r="AF7" s="16" t="n">
        <v>4014562</v>
      </c>
      <c r="AG7" s="16" t="n">
        <v>4757461</v>
      </c>
      <c r="AH7" s="16" t="n">
        <v>5095473</v>
      </c>
      <c r="AI7" s="8"/>
    </row>
    <row r="8" customFormat="false" ht="16.4" hidden="false" customHeight="false" outlineLevel="0" collapsed="false">
      <c r="B8" s="9"/>
      <c r="C8" s="14"/>
      <c r="D8" s="15" t="s">
        <v>14</v>
      </c>
      <c r="E8" s="16" t="n">
        <v>105523</v>
      </c>
      <c r="F8" s="16" t="n">
        <v>60958</v>
      </c>
      <c r="G8" s="16" t="n">
        <v>35401</v>
      </c>
      <c r="H8" s="16" t="n">
        <v>19941</v>
      </c>
      <c r="I8" s="16" t="n">
        <v>19226</v>
      </c>
      <c r="J8" s="16" t="n">
        <v>24132</v>
      </c>
      <c r="K8" s="7"/>
      <c r="L8" s="7"/>
      <c r="M8" s="16" t="n">
        <v>1479016</v>
      </c>
      <c r="N8" s="16" t="n">
        <v>722568</v>
      </c>
      <c r="O8" s="16" t="n">
        <v>357457</v>
      </c>
      <c r="P8" s="16" t="n">
        <v>253348</v>
      </c>
      <c r="Q8" s="16" t="n">
        <v>204177</v>
      </c>
      <c r="R8" s="16" t="n">
        <v>285312</v>
      </c>
      <c r="S8" s="7"/>
      <c r="T8" s="7"/>
      <c r="U8" s="16" t="n">
        <v>4276995</v>
      </c>
      <c r="V8" s="16" t="n">
        <v>2487226</v>
      </c>
      <c r="W8" s="16" t="n">
        <v>1287303</v>
      </c>
      <c r="X8" s="16" t="n">
        <v>698905</v>
      </c>
      <c r="Y8" s="16" t="n">
        <v>755026</v>
      </c>
      <c r="Z8" s="16" t="n">
        <v>1137115</v>
      </c>
      <c r="AA8" s="7"/>
      <c r="AB8" s="7"/>
      <c r="AC8" s="16" t="n">
        <v>32895638</v>
      </c>
      <c r="AD8" s="16" t="n">
        <v>17425565</v>
      </c>
      <c r="AE8" s="16" t="n">
        <v>8014495</v>
      </c>
      <c r="AF8" s="16" t="n">
        <v>3983145</v>
      </c>
      <c r="AG8" s="16" t="n">
        <v>4667467</v>
      </c>
      <c r="AH8" s="16" t="n">
        <v>4884781</v>
      </c>
      <c r="AI8" s="8"/>
    </row>
    <row r="9" customFormat="false" ht="16.4" hidden="false" customHeight="false" outlineLevel="0" collapsed="false">
      <c r="B9" s="9"/>
      <c r="C9" s="14"/>
      <c r="D9" s="15" t="s">
        <v>15</v>
      </c>
      <c r="E9" s="16" t="n">
        <v>104299</v>
      </c>
      <c r="F9" s="16" t="n">
        <v>54259</v>
      </c>
      <c r="G9" s="16" t="n">
        <v>32491</v>
      </c>
      <c r="H9" s="16" t="n">
        <v>19394</v>
      </c>
      <c r="I9" s="16" t="n">
        <v>18866</v>
      </c>
      <c r="J9" s="16" t="n">
        <v>23677</v>
      </c>
      <c r="K9" s="7"/>
      <c r="L9" s="7"/>
      <c r="M9" s="16" t="n">
        <v>1478409</v>
      </c>
      <c r="N9" s="16" t="n">
        <v>715851</v>
      </c>
      <c r="O9" s="16" t="n">
        <v>362224</v>
      </c>
      <c r="P9" s="16" t="n">
        <v>294122</v>
      </c>
      <c r="Q9" s="16" t="n">
        <v>215637</v>
      </c>
      <c r="R9" s="16" t="n">
        <v>289980</v>
      </c>
      <c r="S9" s="7"/>
      <c r="T9" s="7"/>
      <c r="U9" s="16" t="n">
        <v>4382211</v>
      </c>
      <c r="V9" s="16" t="n">
        <v>2568122</v>
      </c>
      <c r="W9" s="16" t="n">
        <v>1304810</v>
      </c>
      <c r="X9" s="16" t="n">
        <v>664450</v>
      </c>
      <c r="Y9" s="16" t="n">
        <v>703872</v>
      </c>
      <c r="Z9" s="16" t="n">
        <v>1175658</v>
      </c>
      <c r="AA9" s="7"/>
      <c r="AB9" s="7"/>
      <c r="AC9" s="16" t="n">
        <v>34555795</v>
      </c>
      <c r="AD9" s="16" t="n">
        <v>17551580</v>
      </c>
      <c r="AE9" s="16" t="n">
        <v>8168957</v>
      </c>
      <c r="AF9" s="16" t="n">
        <v>4010790</v>
      </c>
      <c r="AG9" s="16" t="n">
        <v>4734932</v>
      </c>
      <c r="AH9" s="16" t="n">
        <v>4902231</v>
      </c>
      <c r="AI9" s="8"/>
    </row>
    <row r="10" customFormat="false" ht="16.4" hidden="false" customHeight="false" outlineLevel="0" collapsed="false">
      <c r="B10" s="9"/>
      <c r="C10" s="14"/>
      <c r="D10" s="15" t="s">
        <v>16</v>
      </c>
      <c r="E10" s="16" t="n">
        <v>103648</v>
      </c>
      <c r="F10" s="16" t="n">
        <v>60746</v>
      </c>
      <c r="G10" s="16" t="n">
        <v>31691</v>
      </c>
      <c r="H10" s="16" t="n">
        <v>19665</v>
      </c>
      <c r="I10" s="16" t="n">
        <v>23050</v>
      </c>
      <c r="J10" s="16" t="n">
        <v>27199</v>
      </c>
      <c r="K10" s="7"/>
      <c r="L10" s="7"/>
      <c r="M10" s="16" t="n">
        <v>1503625</v>
      </c>
      <c r="N10" s="16" t="n">
        <v>698205</v>
      </c>
      <c r="O10" s="16" t="n">
        <v>366273</v>
      </c>
      <c r="P10" s="16" t="n">
        <v>240057</v>
      </c>
      <c r="Q10" s="16" t="n">
        <v>201176</v>
      </c>
      <c r="R10" s="16" t="n">
        <v>286764</v>
      </c>
      <c r="S10" s="7"/>
      <c r="T10" s="7"/>
      <c r="U10" s="16" t="n">
        <v>4295291</v>
      </c>
      <c r="V10" s="16" t="n">
        <v>2459884</v>
      </c>
      <c r="W10" s="16" t="n">
        <v>1246442</v>
      </c>
      <c r="X10" s="16" t="n">
        <v>690874</v>
      </c>
      <c r="Y10" s="16" t="n">
        <v>718204</v>
      </c>
      <c r="Z10" s="16" t="n">
        <v>1184425</v>
      </c>
      <c r="AA10" s="7"/>
      <c r="AB10" s="7"/>
      <c r="AC10" s="16" t="n">
        <v>36060169</v>
      </c>
      <c r="AD10" s="16" t="n">
        <v>17626263</v>
      </c>
      <c r="AE10" s="16" t="n">
        <v>8256730</v>
      </c>
      <c r="AF10" s="16" t="n">
        <v>4063578</v>
      </c>
      <c r="AG10" s="16" t="n">
        <v>4687118</v>
      </c>
      <c r="AH10" s="16" t="n">
        <v>4881178</v>
      </c>
      <c r="AI10" s="8"/>
    </row>
    <row r="11" customFormat="false" ht="16.4" hidden="false" customHeight="false" outlineLevel="0" collapsed="false">
      <c r="B11" s="9"/>
      <c r="C11" s="14"/>
      <c r="D11" s="15" t="s">
        <v>17</v>
      </c>
      <c r="E11" s="16" t="n">
        <v>103904</v>
      </c>
      <c r="F11" s="16" t="n">
        <v>54267</v>
      </c>
      <c r="G11" s="16" t="n">
        <v>34821</v>
      </c>
      <c r="H11" s="16" t="n">
        <v>20516</v>
      </c>
      <c r="I11" s="16" t="n">
        <v>28965</v>
      </c>
      <c r="J11" s="16" t="n">
        <v>28107</v>
      </c>
      <c r="K11" s="7"/>
      <c r="L11" s="7"/>
      <c r="M11" s="16" t="n">
        <v>1468342</v>
      </c>
      <c r="N11" s="16" t="n">
        <v>722406</v>
      </c>
      <c r="O11" s="16" t="n">
        <v>361415</v>
      </c>
      <c r="P11" s="16" t="n">
        <v>297278</v>
      </c>
      <c r="Q11" s="16" t="n">
        <v>210344</v>
      </c>
      <c r="R11" s="16" t="n">
        <v>286612</v>
      </c>
      <c r="S11" s="7"/>
      <c r="T11" s="7"/>
      <c r="U11" s="16" t="n">
        <v>4379180</v>
      </c>
      <c r="V11" s="16" t="n">
        <v>2402827</v>
      </c>
      <c r="W11" s="16" t="n">
        <v>1273352</v>
      </c>
      <c r="X11" s="16" t="n">
        <v>670287</v>
      </c>
      <c r="Y11" s="16" t="n">
        <v>700406</v>
      </c>
      <c r="Z11" s="16" t="n">
        <v>1188694</v>
      </c>
      <c r="AA11" s="7"/>
      <c r="AB11" s="7"/>
      <c r="AC11" s="16" t="n">
        <v>39298114</v>
      </c>
      <c r="AD11" s="16" t="n">
        <v>17305405</v>
      </c>
      <c r="AE11" s="16" t="n">
        <v>7959094</v>
      </c>
      <c r="AF11" s="16" t="n">
        <v>4038526</v>
      </c>
      <c r="AG11" s="16" t="n">
        <v>4660427</v>
      </c>
      <c r="AH11" s="16" t="n">
        <v>5079448</v>
      </c>
      <c r="AI11" s="8"/>
    </row>
    <row r="12" customFormat="false" ht="16.4" hidden="false" customHeight="false" outlineLevel="0" collapsed="false">
      <c r="B12" s="9"/>
      <c r="C12" s="14"/>
      <c r="D12" s="15" t="s">
        <v>18</v>
      </c>
      <c r="E12" s="16" t="n">
        <v>107627</v>
      </c>
      <c r="F12" s="16" t="n">
        <v>56182</v>
      </c>
      <c r="G12" s="16" t="n">
        <v>35742</v>
      </c>
      <c r="H12" s="16" t="n">
        <v>22074</v>
      </c>
      <c r="I12" s="16" t="n">
        <v>23643</v>
      </c>
      <c r="J12" s="16" t="n">
        <v>17309</v>
      </c>
      <c r="K12" s="7"/>
      <c r="L12" s="7"/>
      <c r="M12" s="16" t="n">
        <v>1555047</v>
      </c>
      <c r="N12" s="16" t="n">
        <v>802805</v>
      </c>
      <c r="O12" s="16" t="n">
        <v>361262</v>
      </c>
      <c r="P12" s="16" t="n">
        <v>249599</v>
      </c>
      <c r="Q12" s="16" t="n">
        <v>205037</v>
      </c>
      <c r="R12" s="16" t="n">
        <v>273396</v>
      </c>
      <c r="S12" s="7"/>
      <c r="T12" s="7"/>
      <c r="U12" s="16" t="n">
        <v>4370694</v>
      </c>
      <c r="V12" s="16" t="n">
        <v>3100906</v>
      </c>
      <c r="W12" s="16" t="n">
        <v>1245081</v>
      </c>
      <c r="X12" s="16" t="n">
        <v>781716</v>
      </c>
      <c r="Y12" s="16" t="n">
        <v>688251</v>
      </c>
      <c r="Z12" s="16" t="n">
        <v>1181032</v>
      </c>
      <c r="AA12" s="7"/>
      <c r="AB12" s="7"/>
      <c r="AC12" s="16" t="n">
        <v>42779939</v>
      </c>
      <c r="AD12" s="16" t="n">
        <v>17742515</v>
      </c>
      <c r="AE12" s="16" t="n">
        <v>8106231</v>
      </c>
      <c r="AF12" s="16" t="n">
        <v>4075230</v>
      </c>
      <c r="AG12" s="16" t="n">
        <v>4836565</v>
      </c>
      <c r="AH12" s="16" t="n">
        <v>4722538</v>
      </c>
      <c r="AI12" s="8"/>
    </row>
    <row r="13" customFormat="false" ht="16.4" hidden="false" customHeight="false" outlineLevel="0" collapsed="false">
      <c r="B13" s="9"/>
      <c r="C13" s="14"/>
      <c r="D13" s="15" t="s">
        <v>19</v>
      </c>
      <c r="E13" s="16" t="n">
        <v>104870</v>
      </c>
      <c r="F13" s="16" t="n">
        <v>57329</v>
      </c>
      <c r="G13" s="16" t="n">
        <v>33656</v>
      </c>
      <c r="H13" s="16" t="n">
        <v>22533</v>
      </c>
      <c r="I13" s="16" t="n">
        <v>15795</v>
      </c>
      <c r="J13" s="16" t="n">
        <v>18452</v>
      </c>
      <c r="K13" s="7"/>
      <c r="L13" s="7"/>
      <c r="M13" s="16" t="n">
        <v>1478987</v>
      </c>
      <c r="N13" s="16" t="n">
        <v>751721</v>
      </c>
      <c r="O13" s="16" t="n">
        <v>362471</v>
      </c>
      <c r="P13" s="16" t="n">
        <v>244692</v>
      </c>
      <c r="Q13" s="16" t="n">
        <v>200478</v>
      </c>
      <c r="R13" s="16" t="n">
        <v>289105</v>
      </c>
      <c r="S13" s="7"/>
      <c r="T13" s="7"/>
      <c r="U13" s="16" t="n">
        <v>4348821</v>
      </c>
      <c r="V13" s="16" t="n">
        <v>2648028</v>
      </c>
      <c r="W13" s="16" t="n">
        <v>1288196</v>
      </c>
      <c r="X13" s="16" t="n">
        <v>728387</v>
      </c>
      <c r="Y13" s="16" t="n">
        <v>752831</v>
      </c>
      <c r="Z13" s="16" t="n">
        <v>1162704</v>
      </c>
      <c r="AA13" s="7"/>
      <c r="AB13" s="7"/>
      <c r="AC13" s="16" t="n">
        <v>37423019</v>
      </c>
      <c r="AD13" s="16" t="n">
        <v>17207458</v>
      </c>
      <c r="AE13" s="16" t="n">
        <v>8051463</v>
      </c>
      <c r="AF13" s="16" t="n">
        <v>4126160</v>
      </c>
      <c r="AG13" s="16" t="n">
        <v>4789278</v>
      </c>
      <c r="AH13" s="16" t="n">
        <v>5035256</v>
      </c>
      <c r="AI13" s="8"/>
    </row>
    <row r="14" customFormat="false" ht="16.4" hidden="false" customHeight="false" outlineLevel="0" collapsed="false">
      <c r="B14" s="9"/>
      <c r="C14" s="14"/>
      <c r="D14" s="15" t="s">
        <v>20</v>
      </c>
      <c r="E14" s="16" t="n">
        <v>103809</v>
      </c>
      <c r="F14" s="16" t="n">
        <v>53594</v>
      </c>
      <c r="G14" s="16" t="n">
        <v>34624</v>
      </c>
      <c r="H14" s="16" t="n">
        <v>21383</v>
      </c>
      <c r="I14" s="16" t="n">
        <v>21018</v>
      </c>
      <c r="J14" s="16" t="n">
        <v>26903</v>
      </c>
      <c r="K14" s="7"/>
      <c r="L14" s="7"/>
      <c r="M14" s="16" t="n">
        <v>1498104</v>
      </c>
      <c r="N14" s="16" t="n">
        <v>762233</v>
      </c>
      <c r="O14" s="16" t="n">
        <v>370414</v>
      </c>
      <c r="P14" s="16" t="n">
        <v>289991</v>
      </c>
      <c r="Q14" s="16" t="n">
        <v>203656</v>
      </c>
      <c r="R14" s="16" t="n">
        <v>271170</v>
      </c>
      <c r="S14" s="7"/>
      <c r="T14" s="7"/>
      <c r="U14" s="16" t="n">
        <v>4349851</v>
      </c>
      <c r="V14" s="16" t="n">
        <v>2479305</v>
      </c>
      <c r="W14" s="16" t="n">
        <v>1274281</v>
      </c>
      <c r="X14" s="16" t="n">
        <v>671861</v>
      </c>
      <c r="Y14" s="16" t="n">
        <v>684151</v>
      </c>
      <c r="Z14" s="16" t="n">
        <v>1180971</v>
      </c>
      <c r="AA14" s="7"/>
      <c r="AB14" s="7"/>
      <c r="AC14" s="16" t="n">
        <v>35427866</v>
      </c>
      <c r="AD14" s="16" t="n">
        <v>17442113</v>
      </c>
      <c r="AE14" s="16" t="n">
        <v>7951745</v>
      </c>
      <c r="AF14" s="16" t="n">
        <v>3988942</v>
      </c>
      <c r="AG14" s="16" t="n">
        <v>4687657</v>
      </c>
      <c r="AH14" s="16" t="n">
        <v>4831739</v>
      </c>
      <c r="AI14" s="8"/>
    </row>
    <row r="15" customFormat="false" ht="16.4" hidden="false" customHeight="false" outlineLevel="0" collapsed="false">
      <c r="B15" s="9"/>
      <c r="C15" s="14"/>
      <c r="D15" s="15" t="s">
        <v>21</v>
      </c>
      <c r="E15" s="16" t="n">
        <v>105350</v>
      </c>
      <c r="F15" s="16" t="n">
        <v>58311</v>
      </c>
      <c r="G15" s="16" t="n">
        <v>31897</v>
      </c>
      <c r="H15" s="16" t="n">
        <v>21346</v>
      </c>
      <c r="I15" s="16" t="n">
        <v>20440</v>
      </c>
      <c r="J15" s="16" t="n">
        <v>27477</v>
      </c>
      <c r="K15" s="7"/>
      <c r="L15" s="7"/>
      <c r="M15" s="16" t="n">
        <v>1506803</v>
      </c>
      <c r="N15" s="16" t="n">
        <v>793229</v>
      </c>
      <c r="O15" s="16" t="n">
        <v>367906</v>
      </c>
      <c r="P15" s="16" t="n">
        <v>278096</v>
      </c>
      <c r="Q15" s="16" t="n">
        <v>203221</v>
      </c>
      <c r="R15" s="16" t="n">
        <v>282882</v>
      </c>
      <c r="S15" s="7"/>
      <c r="T15" s="7"/>
      <c r="U15" s="16" t="n">
        <v>4301659</v>
      </c>
      <c r="V15" s="16" t="n">
        <v>2503886</v>
      </c>
      <c r="W15" s="16" t="n">
        <v>1259657</v>
      </c>
      <c r="X15" s="16" t="n">
        <v>676627</v>
      </c>
      <c r="Y15" s="16" t="n">
        <v>694186</v>
      </c>
      <c r="Z15" s="16" t="n">
        <v>1155316</v>
      </c>
      <c r="AA15" s="17"/>
      <c r="AB15" s="7"/>
      <c r="AC15" s="16" t="n">
        <v>36215542</v>
      </c>
      <c r="AD15" s="16" t="n">
        <v>17547224</v>
      </c>
      <c r="AE15" s="16" t="n">
        <v>8160461</v>
      </c>
      <c r="AF15" s="16" t="n">
        <v>4057475</v>
      </c>
      <c r="AG15" s="16" t="n">
        <v>4934467</v>
      </c>
      <c r="AH15" s="16" t="n">
        <v>5185827</v>
      </c>
      <c r="AI15" s="8"/>
    </row>
    <row r="16" customFormat="false" ht="16.4" hidden="false" customHeight="false" outlineLevel="0" collapsed="false">
      <c r="B16" s="9"/>
      <c r="C16" s="14"/>
      <c r="D16" s="15" t="s">
        <v>22</v>
      </c>
      <c r="E16" s="16" t="n">
        <v>105723</v>
      </c>
      <c r="F16" s="16" t="n">
        <v>56017</v>
      </c>
      <c r="G16" s="16" t="n">
        <v>33981</v>
      </c>
      <c r="H16" s="16" t="n">
        <v>16389</v>
      </c>
      <c r="I16" s="16" t="n">
        <v>24796</v>
      </c>
      <c r="J16" s="16" t="n">
        <v>22247</v>
      </c>
      <c r="K16" s="7"/>
      <c r="L16" s="7"/>
      <c r="M16" s="16" t="n">
        <v>1883781</v>
      </c>
      <c r="N16" s="16" t="n">
        <v>760702</v>
      </c>
      <c r="O16" s="16" t="n">
        <v>363770</v>
      </c>
      <c r="P16" s="16" t="n">
        <v>300995</v>
      </c>
      <c r="Q16" s="16" t="n">
        <v>195389</v>
      </c>
      <c r="R16" s="16" t="n">
        <v>281479</v>
      </c>
      <c r="S16" s="7"/>
      <c r="T16" s="7"/>
      <c r="U16" s="16" t="n">
        <v>4379275</v>
      </c>
      <c r="V16" s="16" t="n">
        <v>2519022</v>
      </c>
      <c r="W16" s="16" t="n">
        <v>1225061</v>
      </c>
      <c r="X16" s="16" t="n">
        <v>712951</v>
      </c>
      <c r="Y16" s="16" t="n">
        <v>673781</v>
      </c>
      <c r="Z16" s="16" t="n">
        <v>1160690</v>
      </c>
      <c r="AA16" s="7"/>
      <c r="AB16" s="7"/>
      <c r="AC16" s="16" t="n">
        <v>35572263</v>
      </c>
      <c r="AD16" s="16" t="n">
        <v>17364398</v>
      </c>
      <c r="AE16" s="16" t="n">
        <v>8213530</v>
      </c>
      <c r="AF16" s="16" t="n">
        <v>4021496</v>
      </c>
      <c r="AG16" s="16" t="n">
        <v>4665312</v>
      </c>
      <c r="AH16" s="16" t="n">
        <v>5100578</v>
      </c>
      <c r="AI16" s="8"/>
    </row>
    <row r="17" customFormat="false" ht="16.4" hidden="false" customHeight="false" outlineLevel="0" collapsed="false">
      <c r="B17" s="9"/>
      <c r="C17" s="14"/>
      <c r="D17" s="15" t="s">
        <v>23</v>
      </c>
      <c r="E17" s="16" t="n">
        <v>102194</v>
      </c>
      <c r="F17" s="16" t="n">
        <v>59035</v>
      </c>
      <c r="G17" s="16" t="n">
        <v>33746</v>
      </c>
      <c r="H17" s="16" t="n">
        <v>20972</v>
      </c>
      <c r="I17" s="16" t="n">
        <v>21918</v>
      </c>
      <c r="J17" s="16" t="n">
        <v>26781</v>
      </c>
      <c r="K17" s="7"/>
      <c r="L17" s="7"/>
      <c r="M17" s="16" t="n">
        <v>1586851</v>
      </c>
      <c r="N17" s="16" t="n">
        <v>888297</v>
      </c>
      <c r="O17" s="16" t="n">
        <v>366934</v>
      </c>
      <c r="P17" s="16" t="n">
        <v>300658</v>
      </c>
      <c r="Q17" s="16" t="n">
        <v>251120</v>
      </c>
      <c r="R17" s="16" t="n">
        <v>282034</v>
      </c>
      <c r="S17" s="7"/>
      <c r="T17" s="7"/>
      <c r="U17" s="16" t="n">
        <v>4441440</v>
      </c>
      <c r="V17" s="16" t="n">
        <v>2489528</v>
      </c>
      <c r="W17" s="16" t="n">
        <v>1354457</v>
      </c>
      <c r="X17" s="16" t="n">
        <v>687042</v>
      </c>
      <c r="Y17" s="16" t="n">
        <v>683761</v>
      </c>
      <c r="Z17" s="16" t="n">
        <v>1154879</v>
      </c>
      <c r="AA17" s="7"/>
      <c r="AB17" s="7"/>
      <c r="AC17" s="16" t="n">
        <v>36710639</v>
      </c>
      <c r="AD17" s="16" t="n">
        <v>17517148</v>
      </c>
      <c r="AE17" s="16" t="n">
        <v>8163060</v>
      </c>
      <c r="AF17" s="16" t="n">
        <v>4112447</v>
      </c>
      <c r="AG17" s="16" t="n">
        <v>4745429</v>
      </c>
      <c r="AH17" s="16" t="n">
        <v>4867988</v>
      </c>
      <c r="AI17" s="8"/>
    </row>
    <row r="18" customFormat="false" ht="16.4" hidden="false" customHeight="false" outlineLevel="0" collapsed="false">
      <c r="B18" s="9"/>
      <c r="C18" s="14"/>
      <c r="D18" s="15" t="s">
        <v>24</v>
      </c>
      <c r="E18" s="16" t="n">
        <v>103211</v>
      </c>
      <c r="F18" s="16" t="n">
        <v>55094</v>
      </c>
      <c r="G18" s="16" t="n">
        <v>34446</v>
      </c>
      <c r="H18" s="16" t="n">
        <v>20831</v>
      </c>
      <c r="I18" s="16" t="n">
        <v>19620</v>
      </c>
      <c r="J18" s="16" t="n">
        <v>22014</v>
      </c>
      <c r="K18" s="7"/>
      <c r="L18" s="7"/>
      <c r="M18" s="16" t="n">
        <v>1527330</v>
      </c>
      <c r="N18" s="16" t="n">
        <v>864390</v>
      </c>
      <c r="O18" s="16" t="n">
        <v>389877</v>
      </c>
      <c r="P18" s="16" t="n">
        <v>300039</v>
      </c>
      <c r="Q18" s="16" t="n">
        <v>252905</v>
      </c>
      <c r="R18" s="16" t="n">
        <v>293818</v>
      </c>
      <c r="S18" s="7"/>
      <c r="T18" s="7"/>
      <c r="U18" s="16" t="n">
        <v>4347779</v>
      </c>
      <c r="V18" s="16" t="n">
        <v>2455137</v>
      </c>
      <c r="W18" s="16" t="n">
        <v>1275087</v>
      </c>
      <c r="X18" s="16" t="n">
        <v>662630</v>
      </c>
      <c r="Y18" s="16" t="n">
        <v>690033</v>
      </c>
      <c r="Z18" s="16" t="n">
        <v>1182739</v>
      </c>
      <c r="AA18" s="7"/>
      <c r="AB18" s="7"/>
      <c r="AC18" s="16" t="n">
        <v>35862198</v>
      </c>
      <c r="AD18" s="16" t="n">
        <v>17199383</v>
      </c>
      <c r="AE18" s="16" t="n">
        <v>8081487</v>
      </c>
      <c r="AF18" s="16" t="n">
        <v>4070642</v>
      </c>
      <c r="AG18" s="16" t="n">
        <v>4656402</v>
      </c>
      <c r="AH18" s="16" t="n">
        <v>4843993</v>
      </c>
      <c r="AI18" s="8"/>
    </row>
    <row r="19" customFormat="false" ht="16.4" hidden="false" customHeight="false" outlineLevel="0" collapsed="false">
      <c r="B19" s="9"/>
      <c r="C19" s="14"/>
      <c r="D19" s="15" t="s">
        <v>25</v>
      </c>
      <c r="E19" s="16" t="n">
        <v>104596</v>
      </c>
      <c r="F19" s="16" t="n">
        <v>58598</v>
      </c>
      <c r="G19" s="16" t="n">
        <v>29200</v>
      </c>
      <c r="H19" s="16" t="n">
        <v>18578</v>
      </c>
      <c r="I19" s="16" t="n">
        <v>16731</v>
      </c>
      <c r="J19" s="16" t="n">
        <v>26205</v>
      </c>
      <c r="K19" s="7"/>
      <c r="L19" s="7"/>
      <c r="M19" s="16" t="n">
        <v>1526588</v>
      </c>
      <c r="N19" s="16" t="n">
        <v>950327</v>
      </c>
      <c r="O19" s="16" t="n">
        <v>376798</v>
      </c>
      <c r="P19" s="16" t="n">
        <v>276262</v>
      </c>
      <c r="Q19" s="16" t="n">
        <v>251333</v>
      </c>
      <c r="R19" s="16" t="n">
        <v>291366</v>
      </c>
      <c r="S19" s="7"/>
      <c r="T19" s="7"/>
      <c r="U19" s="16" t="n">
        <v>4346438</v>
      </c>
      <c r="V19" s="16" t="n">
        <v>2464170</v>
      </c>
      <c r="W19" s="16" t="n">
        <v>1251586</v>
      </c>
      <c r="X19" s="16" t="n">
        <v>652248</v>
      </c>
      <c r="Y19" s="16" t="n">
        <v>705796</v>
      </c>
      <c r="Z19" s="16" t="n">
        <v>1209347</v>
      </c>
      <c r="AA19" s="7"/>
      <c r="AB19" s="7"/>
      <c r="AC19" s="16" t="n">
        <v>35136438</v>
      </c>
      <c r="AD19" s="16" t="n">
        <v>17365282</v>
      </c>
      <c r="AE19" s="16" t="n">
        <v>8287292</v>
      </c>
      <c r="AF19" s="16" t="n">
        <v>4053829</v>
      </c>
      <c r="AG19" s="16" t="n">
        <v>4704330</v>
      </c>
      <c r="AH19" s="16" t="n">
        <v>5106669</v>
      </c>
      <c r="AI19" s="8"/>
    </row>
    <row r="20" customFormat="false" ht="16.4" hidden="false" customHeight="false" outlineLevel="0" collapsed="false">
      <c r="B20" s="9"/>
      <c r="C20" s="14"/>
      <c r="D20" s="15" t="s">
        <v>26</v>
      </c>
      <c r="E20" s="16" t="n">
        <v>106077</v>
      </c>
      <c r="F20" s="16" t="n">
        <v>54710</v>
      </c>
      <c r="G20" s="16" t="n">
        <v>31894</v>
      </c>
      <c r="H20" s="16" t="n">
        <v>21082</v>
      </c>
      <c r="I20" s="16" t="n">
        <v>21262</v>
      </c>
      <c r="J20" s="16" t="n">
        <v>23967</v>
      </c>
      <c r="K20" s="7"/>
      <c r="L20" s="7"/>
      <c r="M20" s="16" t="n">
        <v>1515569</v>
      </c>
      <c r="N20" s="16" t="n">
        <v>722311</v>
      </c>
      <c r="O20" s="16" t="n">
        <v>362500</v>
      </c>
      <c r="P20" s="16" t="n">
        <v>315232</v>
      </c>
      <c r="Q20" s="16" t="n">
        <v>220526</v>
      </c>
      <c r="R20" s="16" t="n">
        <v>289656</v>
      </c>
      <c r="S20" s="7"/>
      <c r="T20" s="7"/>
      <c r="U20" s="16" t="n">
        <v>4358283</v>
      </c>
      <c r="V20" s="16" t="n">
        <v>2564797</v>
      </c>
      <c r="W20" s="16" t="n">
        <v>1253283</v>
      </c>
      <c r="X20" s="16" t="n">
        <v>670842</v>
      </c>
      <c r="Y20" s="16" t="n">
        <v>697687</v>
      </c>
      <c r="Z20" s="16" t="n">
        <v>1192842</v>
      </c>
      <c r="AA20" s="7"/>
      <c r="AB20" s="7"/>
      <c r="AC20" s="16" t="n">
        <v>41304653</v>
      </c>
      <c r="AD20" s="16" t="n">
        <v>17590054</v>
      </c>
      <c r="AE20" s="16" t="n">
        <v>8180762</v>
      </c>
      <c r="AF20" s="16" t="n">
        <v>3923232</v>
      </c>
      <c r="AG20" s="16" t="n">
        <v>4624792</v>
      </c>
      <c r="AH20" s="16" t="n">
        <v>4802272</v>
      </c>
      <c r="AI20" s="8"/>
    </row>
    <row r="21" customFormat="false" ht="16.4" hidden="false" customHeight="false" outlineLevel="0" collapsed="false">
      <c r="B21" s="9"/>
      <c r="C21" s="14"/>
      <c r="D21" s="15" t="s">
        <v>27</v>
      </c>
      <c r="E21" s="16" t="n">
        <v>104705</v>
      </c>
      <c r="F21" s="16" t="n">
        <v>57204</v>
      </c>
      <c r="G21" s="16" t="n">
        <v>30480</v>
      </c>
      <c r="H21" s="16" t="n">
        <v>19685</v>
      </c>
      <c r="I21" s="16" t="n">
        <v>21121</v>
      </c>
      <c r="J21" s="16" t="n">
        <v>22598</v>
      </c>
      <c r="K21" s="7"/>
      <c r="L21" s="7"/>
      <c r="M21" s="16" t="n">
        <v>1494733</v>
      </c>
      <c r="N21" s="16" t="n">
        <v>715459</v>
      </c>
      <c r="O21" s="16" t="n">
        <v>426097</v>
      </c>
      <c r="P21" s="16" t="n">
        <v>243428</v>
      </c>
      <c r="Q21" s="16" t="n">
        <v>254249</v>
      </c>
      <c r="R21" s="16" t="n">
        <v>283860</v>
      </c>
      <c r="S21" s="7"/>
      <c r="T21" s="7"/>
      <c r="U21" s="16" t="n">
        <v>4349197</v>
      </c>
      <c r="V21" s="16" t="n">
        <v>2478292</v>
      </c>
      <c r="W21" s="16" t="n">
        <v>1306332</v>
      </c>
      <c r="X21" s="16" t="n">
        <v>707921</v>
      </c>
      <c r="Y21" s="16" t="n">
        <v>694683</v>
      </c>
      <c r="Z21" s="16" t="n">
        <v>1228308</v>
      </c>
      <c r="AA21" s="7"/>
      <c r="AB21" s="7"/>
      <c r="AC21" s="16" t="n">
        <v>37784477</v>
      </c>
      <c r="AD21" s="16" t="n">
        <v>17154095</v>
      </c>
      <c r="AE21" s="16" t="n">
        <v>7981478</v>
      </c>
      <c r="AF21" s="16" t="n">
        <v>4051621</v>
      </c>
      <c r="AG21" s="16" t="n">
        <v>4607189</v>
      </c>
      <c r="AH21" s="16" t="n">
        <v>5005130</v>
      </c>
      <c r="AI21" s="8"/>
    </row>
    <row r="22" customFormat="false" ht="16.4" hidden="false" customHeight="false" outlineLevel="0" collapsed="false">
      <c r="B22" s="9"/>
      <c r="C22" s="14"/>
      <c r="D22" s="15" t="s">
        <v>28</v>
      </c>
      <c r="E22" s="16" t="n">
        <v>104289</v>
      </c>
      <c r="F22" s="16" t="n">
        <v>55983</v>
      </c>
      <c r="G22" s="16" t="n">
        <v>35546</v>
      </c>
      <c r="H22" s="16" t="n">
        <v>21664</v>
      </c>
      <c r="I22" s="16" t="n">
        <v>15659</v>
      </c>
      <c r="J22" s="16" t="n">
        <v>23664</v>
      </c>
      <c r="K22" s="7"/>
      <c r="L22" s="7"/>
      <c r="M22" s="16" t="n">
        <v>1515192</v>
      </c>
      <c r="N22" s="16" t="n">
        <v>719776</v>
      </c>
      <c r="O22" s="16" t="n">
        <v>507571</v>
      </c>
      <c r="P22" s="16" t="n">
        <v>269324</v>
      </c>
      <c r="Q22" s="16" t="n">
        <v>256514</v>
      </c>
      <c r="R22" s="16" t="n">
        <v>283574</v>
      </c>
      <c r="S22" s="7"/>
      <c r="T22" s="7"/>
      <c r="U22" s="16" t="n">
        <v>4356026</v>
      </c>
      <c r="V22" s="16" t="n">
        <v>2486126</v>
      </c>
      <c r="W22" s="16" t="n">
        <v>1246513</v>
      </c>
      <c r="X22" s="16" t="n">
        <v>687040</v>
      </c>
      <c r="Y22" s="16" t="n">
        <v>696620</v>
      </c>
      <c r="Z22" s="16" t="n">
        <v>1256110</v>
      </c>
      <c r="AA22" s="7"/>
      <c r="AB22" s="7"/>
      <c r="AC22" s="16" t="n">
        <v>34187062</v>
      </c>
      <c r="AD22" s="16" t="n">
        <v>17211436</v>
      </c>
      <c r="AE22" s="16" t="n">
        <v>8238576</v>
      </c>
      <c r="AF22" s="16" t="n">
        <v>4111851</v>
      </c>
      <c r="AG22" s="16" t="n">
        <v>4707715</v>
      </c>
      <c r="AH22" s="16" t="n">
        <v>5305912</v>
      </c>
      <c r="AI22" s="8"/>
    </row>
    <row r="23" customFormat="false" ht="16.4" hidden="false" customHeight="false" outlineLevel="0" collapsed="false">
      <c r="B23" s="9"/>
      <c r="C23" s="14"/>
      <c r="D23" s="15" t="s">
        <v>29</v>
      </c>
      <c r="E23" s="16" t="n">
        <v>105455</v>
      </c>
      <c r="F23" s="16" t="n">
        <v>56365</v>
      </c>
      <c r="G23" s="16" t="n">
        <v>32381</v>
      </c>
      <c r="H23" s="16" t="n">
        <v>20504</v>
      </c>
      <c r="I23" s="16" t="n">
        <v>22045</v>
      </c>
      <c r="J23" s="16" t="n">
        <v>24512</v>
      </c>
      <c r="K23" s="7"/>
      <c r="L23" s="7"/>
      <c r="M23" s="16" t="n">
        <v>1510419</v>
      </c>
      <c r="N23" s="16" t="n">
        <v>722079</v>
      </c>
      <c r="O23" s="16" t="n">
        <v>487804</v>
      </c>
      <c r="P23" s="16" t="n">
        <v>264126</v>
      </c>
      <c r="Q23" s="16" t="n">
        <v>220395</v>
      </c>
      <c r="R23" s="16" t="n">
        <v>291146</v>
      </c>
      <c r="S23" s="7"/>
      <c r="T23" s="7"/>
      <c r="U23" s="16" t="n">
        <v>4267983</v>
      </c>
      <c r="V23" s="16" t="n">
        <v>2506644</v>
      </c>
      <c r="W23" s="16" t="n">
        <v>1260196</v>
      </c>
      <c r="X23" s="16" t="n">
        <v>668890</v>
      </c>
      <c r="Y23" s="16" t="n">
        <v>690657</v>
      </c>
      <c r="Z23" s="16" t="n">
        <v>1187727</v>
      </c>
      <c r="AA23" s="7"/>
      <c r="AB23" s="7"/>
      <c r="AC23" s="16" t="n">
        <v>36028804</v>
      </c>
      <c r="AD23" s="16" t="n">
        <v>17319004</v>
      </c>
      <c r="AE23" s="16" t="n">
        <v>8013929</v>
      </c>
      <c r="AF23" s="16" t="n">
        <v>4007788</v>
      </c>
      <c r="AG23" s="16" t="n">
        <v>4720264</v>
      </c>
      <c r="AH23" s="16" t="n">
        <v>4926623</v>
      </c>
      <c r="AI23" s="8"/>
    </row>
    <row r="24" customFormat="false" ht="16.4" hidden="false" customHeight="false" outlineLevel="0" collapsed="false">
      <c r="B24" s="9"/>
      <c r="C24" s="14"/>
      <c r="D24" s="15" t="s">
        <v>30</v>
      </c>
      <c r="E24" s="16" t="n">
        <v>99915</v>
      </c>
      <c r="F24" s="16" t="n">
        <v>53680</v>
      </c>
      <c r="G24" s="16" t="n">
        <v>28309</v>
      </c>
      <c r="H24" s="16" t="n">
        <v>19516</v>
      </c>
      <c r="I24" s="16" t="n">
        <v>23142</v>
      </c>
      <c r="J24" s="16" t="n">
        <v>22028</v>
      </c>
      <c r="K24" s="7"/>
      <c r="L24" s="7"/>
      <c r="M24" s="16" t="n">
        <v>1516351</v>
      </c>
      <c r="N24" s="16" t="n">
        <v>727909</v>
      </c>
      <c r="O24" s="16" t="n">
        <v>468806</v>
      </c>
      <c r="P24" s="16" t="n">
        <v>234347</v>
      </c>
      <c r="Q24" s="16" t="n">
        <v>256695</v>
      </c>
      <c r="R24" s="16" t="n">
        <v>278979</v>
      </c>
      <c r="S24" s="7"/>
      <c r="T24" s="7"/>
      <c r="U24" s="16" t="n">
        <v>4275651</v>
      </c>
      <c r="V24" s="16" t="n">
        <v>2466480</v>
      </c>
      <c r="W24" s="16" t="n">
        <v>1238234</v>
      </c>
      <c r="X24" s="16" t="n">
        <v>677055</v>
      </c>
      <c r="Y24" s="16" t="n">
        <v>685142</v>
      </c>
      <c r="Z24" s="16" t="n">
        <v>1188403</v>
      </c>
      <c r="AA24" s="7"/>
      <c r="AB24" s="7"/>
      <c r="AC24" s="16" t="n">
        <v>36713695</v>
      </c>
      <c r="AD24" s="16" t="n">
        <v>17136227</v>
      </c>
      <c r="AE24" s="16" t="n">
        <v>8207698</v>
      </c>
      <c r="AF24" s="16" t="n">
        <v>3933573</v>
      </c>
      <c r="AG24" s="16" t="n">
        <v>4633195</v>
      </c>
      <c r="AH24" s="16" t="n">
        <v>4893823</v>
      </c>
      <c r="AI24" s="8"/>
    </row>
    <row r="25" customFormat="false" ht="16.4" hidden="false" customHeight="false" outlineLevel="0" collapsed="false">
      <c r="B25" s="9"/>
      <c r="C25" s="14"/>
      <c r="D25" s="15" t="s">
        <v>31</v>
      </c>
      <c r="E25" s="16" t="n">
        <v>99867</v>
      </c>
      <c r="F25" s="16" t="n">
        <v>58195</v>
      </c>
      <c r="G25" s="16" t="n">
        <v>30619</v>
      </c>
      <c r="H25" s="16" t="n">
        <v>20386</v>
      </c>
      <c r="I25" s="16" t="n">
        <v>23559</v>
      </c>
      <c r="J25" s="16" t="n">
        <v>17443</v>
      </c>
      <c r="K25" s="7"/>
      <c r="L25" s="7"/>
      <c r="M25" s="16" t="n">
        <v>1511190</v>
      </c>
      <c r="N25" s="16" t="n">
        <v>733786</v>
      </c>
      <c r="O25" s="16" t="n">
        <v>477224</v>
      </c>
      <c r="P25" s="16" t="n">
        <v>246321</v>
      </c>
      <c r="Q25" s="16" t="n">
        <v>259584</v>
      </c>
      <c r="R25" s="16" t="n">
        <v>286593</v>
      </c>
      <c r="S25" s="7"/>
      <c r="T25" s="7"/>
      <c r="U25" s="16" t="n">
        <v>4405245</v>
      </c>
      <c r="V25" s="16" t="n">
        <v>2474575</v>
      </c>
      <c r="W25" s="16" t="n">
        <v>1243885</v>
      </c>
      <c r="X25" s="16" t="n">
        <v>688976</v>
      </c>
      <c r="Y25" s="16" t="n">
        <v>680691</v>
      </c>
      <c r="Z25" s="16" t="n">
        <v>1171396</v>
      </c>
      <c r="AA25" s="7"/>
      <c r="AB25" s="7"/>
      <c r="AC25" s="16" t="n">
        <v>36412211</v>
      </c>
      <c r="AD25" s="16" t="n">
        <v>17598487</v>
      </c>
      <c r="AE25" s="16" t="n">
        <v>8121761</v>
      </c>
      <c r="AF25" s="16" t="n">
        <v>4046119</v>
      </c>
      <c r="AG25" s="16" t="n">
        <v>4728506</v>
      </c>
      <c r="AH25" s="16" t="n">
        <v>4880499</v>
      </c>
      <c r="AI25" s="8"/>
    </row>
    <row r="26" customFormat="false" ht="16.4" hidden="false" customHeight="false" outlineLevel="0" collapsed="false">
      <c r="B26" s="9"/>
      <c r="C26" s="14"/>
      <c r="D26" s="15" t="s">
        <v>32</v>
      </c>
      <c r="E26" s="16" t="n">
        <v>106702</v>
      </c>
      <c r="F26" s="16" t="n">
        <v>53634</v>
      </c>
      <c r="G26" s="16" t="n">
        <v>33856</v>
      </c>
      <c r="H26" s="16" t="n">
        <v>21697</v>
      </c>
      <c r="I26" s="16" t="n">
        <v>21242</v>
      </c>
      <c r="J26" s="16" t="n">
        <v>19311</v>
      </c>
      <c r="K26" s="7"/>
      <c r="L26" s="7"/>
      <c r="M26" s="16" t="n">
        <v>1611757</v>
      </c>
      <c r="N26" s="16" t="n">
        <v>744067</v>
      </c>
      <c r="O26" s="16" t="n">
        <v>459661</v>
      </c>
      <c r="P26" s="16" t="n">
        <v>289211</v>
      </c>
      <c r="Q26" s="16" t="n">
        <v>235055</v>
      </c>
      <c r="R26" s="16" t="n">
        <v>281580</v>
      </c>
      <c r="S26" s="7"/>
      <c r="T26" s="7"/>
      <c r="U26" s="16" t="n">
        <v>4371681</v>
      </c>
      <c r="V26" s="16" t="n">
        <v>2510094</v>
      </c>
      <c r="W26" s="16" t="n">
        <v>1249221</v>
      </c>
      <c r="X26" s="16" t="n">
        <v>681956</v>
      </c>
      <c r="Y26" s="16" t="n">
        <v>679045</v>
      </c>
      <c r="Z26" s="16" t="n">
        <v>1166088</v>
      </c>
      <c r="AA26" s="7"/>
      <c r="AB26" s="7"/>
      <c r="AC26" s="16" t="n">
        <v>34413413</v>
      </c>
      <c r="AD26" s="16" t="n">
        <v>17310823</v>
      </c>
      <c r="AE26" s="16" t="n">
        <v>8124002</v>
      </c>
      <c r="AF26" s="16" t="n">
        <v>3958918</v>
      </c>
      <c r="AG26" s="16" t="n">
        <v>4696475</v>
      </c>
      <c r="AH26" s="16" t="n">
        <v>4877416</v>
      </c>
      <c r="AI26" s="8"/>
    </row>
    <row r="27" customFormat="false" ht="16.4" hidden="false" customHeight="false" outlineLevel="0" collapsed="false">
      <c r="B27" s="9"/>
      <c r="C27" s="14"/>
      <c r="D27" s="15" t="s">
        <v>33</v>
      </c>
      <c r="E27" s="16" t="n">
        <v>104206</v>
      </c>
      <c r="F27" s="16" t="n">
        <v>57447</v>
      </c>
      <c r="G27" s="16" t="n">
        <v>33769</v>
      </c>
      <c r="H27" s="16" t="n">
        <v>20774</v>
      </c>
      <c r="I27" s="16" t="n">
        <v>22507</v>
      </c>
      <c r="J27" s="16" t="n">
        <v>23926</v>
      </c>
      <c r="K27" s="7"/>
      <c r="L27" s="7"/>
      <c r="M27" s="16" t="n">
        <v>1716461</v>
      </c>
      <c r="N27" s="16" t="n">
        <v>754560</v>
      </c>
      <c r="O27" s="16" t="n">
        <v>442795</v>
      </c>
      <c r="P27" s="16" t="n">
        <v>288150</v>
      </c>
      <c r="Q27" s="16" t="n">
        <v>253084</v>
      </c>
      <c r="R27" s="16" t="n">
        <v>284130</v>
      </c>
      <c r="S27" s="7"/>
      <c r="T27" s="7"/>
      <c r="U27" s="16" t="n">
        <v>4272164</v>
      </c>
      <c r="V27" s="16" t="n">
        <v>2761888</v>
      </c>
      <c r="W27" s="16" t="n">
        <v>1208780</v>
      </c>
      <c r="X27" s="16" t="n">
        <v>669508</v>
      </c>
      <c r="Y27" s="16" t="n">
        <v>683684</v>
      </c>
      <c r="Z27" s="16" t="n">
        <v>1180751</v>
      </c>
      <c r="AA27" s="7"/>
      <c r="AB27" s="7"/>
      <c r="AC27" s="16" t="n">
        <v>36263559</v>
      </c>
      <c r="AD27" s="16" t="n">
        <v>17399740</v>
      </c>
      <c r="AE27" s="16" t="n">
        <v>8211549</v>
      </c>
      <c r="AF27" s="16" t="n">
        <v>4046859</v>
      </c>
      <c r="AG27" s="16" t="n">
        <v>4621968</v>
      </c>
      <c r="AH27" s="16" t="n">
        <v>4995786</v>
      </c>
      <c r="AI27" s="8"/>
    </row>
    <row r="28" customFormat="false" ht="16.4" hidden="false" customHeight="false" outlineLevel="0" collapsed="false">
      <c r="B28" s="9"/>
      <c r="C28" s="14"/>
      <c r="D28" s="15" t="s">
        <v>34</v>
      </c>
      <c r="E28" s="16" t="n">
        <v>107162</v>
      </c>
      <c r="F28" s="16" t="n">
        <v>54275</v>
      </c>
      <c r="G28" s="16" t="n">
        <v>32597</v>
      </c>
      <c r="H28" s="16" t="n">
        <v>19786</v>
      </c>
      <c r="I28" s="16" t="n">
        <v>20189</v>
      </c>
      <c r="J28" s="16" t="n">
        <v>26728</v>
      </c>
      <c r="K28" s="7"/>
      <c r="L28" s="7"/>
      <c r="M28" s="16" t="n">
        <v>1506470</v>
      </c>
      <c r="N28" s="16" t="n">
        <v>750902</v>
      </c>
      <c r="O28" s="16" t="n">
        <v>428220</v>
      </c>
      <c r="P28" s="16" t="n">
        <v>303737</v>
      </c>
      <c r="Q28" s="16" t="n">
        <v>260536</v>
      </c>
      <c r="R28" s="16" t="n">
        <v>288143</v>
      </c>
      <c r="S28" s="7"/>
      <c r="T28" s="7"/>
      <c r="U28" s="16" t="n">
        <v>4364919</v>
      </c>
      <c r="V28" s="16" t="n">
        <v>2412933</v>
      </c>
      <c r="W28" s="16" t="n">
        <v>1236400</v>
      </c>
      <c r="X28" s="16" t="n">
        <v>639274</v>
      </c>
      <c r="Y28" s="16" t="n">
        <v>676160</v>
      </c>
      <c r="Z28" s="16" t="n">
        <v>1166210</v>
      </c>
      <c r="AA28" s="7"/>
      <c r="AB28" s="7"/>
      <c r="AC28" s="16" t="n">
        <v>38345956</v>
      </c>
      <c r="AD28" s="16" t="n">
        <v>17320831</v>
      </c>
      <c r="AE28" s="16" t="n">
        <v>8129789</v>
      </c>
      <c r="AF28" s="16" t="n">
        <v>4037068</v>
      </c>
      <c r="AG28" s="16" t="n">
        <v>4703196</v>
      </c>
      <c r="AH28" s="16" t="n">
        <v>4803821</v>
      </c>
      <c r="AI28" s="8"/>
    </row>
    <row r="29" customFormat="false" ht="16.4" hidden="false" customHeight="false" outlineLevel="0" collapsed="false">
      <c r="B29" s="9"/>
      <c r="C29" s="14"/>
      <c r="D29" s="15" t="s">
        <v>35</v>
      </c>
      <c r="E29" s="16" t="n">
        <v>104208</v>
      </c>
      <c r="F29" s="16" t="n">
        <v>54223</v>
      </c>
      <c r="G29" s="16" t="n">
        <v>33526</v>
      </c>
      <c r="H29" s="16" t="n">
        <v>19705</v>
      </c>
      <c r="I29" s="16" t="n">
        <v>19139</v>
      </c>
      <c r="J29" s="16" t="n">
        <v>24398</v>
      </c>
      <c r="K29" s="7"/>
      <c r="L29" s="7"/>
      <c r="M29" s="16" t="n">
        <v>1579285</v>
      </c>
      <c r="N29" s="16" t="n">
        <v>776851</v>
      </c>
      <c r="O29" s="16" t="n">
        <v>353711</v>
      </c>
      <c r="P29" s="16" t="n">
        <v>268837</v>
      </c>
      <c r="Q29" s="16" t="n">
        <v>245329</v>
      </c>
      <c r="R29" s="16" t="n">
        <v>269367</v>
      </c>
      <c r="S29" s="7"/>
      <c r="T29" s="7"/>
      <c r="U29" s="16" t="n">
        <v>4409804</v>
      </c>
      <c r="V29" s="16" t="n">
        <v>2473322</v>
      </c>
      <c r="W29" s="16" t="n">
        <v>1246203</v>
      </c>
      <c r="X29" s="16" t="n">
        <v>685234</v>
      </c>
      <c r="Y29" s="16" t="n">
        <v>686430</v>
      </c>
      <c r="Z29" s="16" t="n">
        <v>1164048</v>
      </c>
      <c r="AA29" s="7"/>
      <c r="AB29" s="7"/>
      <c r="AC29" s="16" t="n">
        <v>35812319</v>
      </c>
      <c r="AD29" s="16" t="n">
        <v>17406555</v>
      </c>
      <c r="AE29" s="16" t="n">
        <v>7963265</v>
      </c>
      <c r="AF29" s="16" t="n">
        <v>4132724</v>
      </c>
      <c r="AG29" s="16" t="n">
        <v>4677773</v>
      </c>
      <c r="AH29" s="16" t="n">
        <v>5228514</v>
      </c>
      <c r="AI29" s="8"/>
    </row>
    <row r="30" customFormat="false" ht="16.4" hidden="false" customHeight="false" outlineLevel="0" collapsed="false">
      <c r="B30" s="9"/>
      <c r="C30" s="14"/>
      <c r="D30" s="15" t="s">
        <v>36</v>
      </c>
      <c r="E30" s="16" t="n">
        <v>105249</v>
      </c>
      <c r="F30" s="16" t="n">
        <v>55309</v>
      </c>
      <c r="G30" s="16" t="n">
        <v>30645</v>
      </c>
      <c r="H30" s="16" t="n">
        <v>21961</v>
      </c>
      <c r="I30" s="16" t="n">
        <v>18801</v>
      </c>
      <c r="J30" s="16" t="n">
        <v>21406</v>
      </c>
      <c r="K30" s="7"/>
      <c r="L30" s="7"/>
      <c r="M30" s="16" t="n">
        <v>1550784</v>
      </c>
      <c r="N30" s="16" t="n">
        <v>785690</v>
      </c>
      <c r="O30" s="16" t="n">
        <v>355414</v>
      </c>
      <c r="P30" s="16" t="n">
        <v>302134</v>
      </c>
      <c r="Q30" s="16" t="n">
        <v>259106</v>
      </c>
      <c r="R30" s="16" t="n">
        <v>280006</v>
      </c>
      <c r="S30" s="7"/>
      <c r="T30" s="7"/>
      <c r="U30" s="16" t="n">
        <v>4244648</v>
      </c>
      <c r="V30" s="16" t="n">
        <v>2892016</v>
      </c>
      <c r="W30" s="16" t="n">
        <v>1374493</v>
      </c>
      <c r="X30" s="16" t="n">
        <v>664890</v>
      </c>
      <c r="Y30" s="16" t="n">
        <v>675276</v>
      </c>
      <c r="Z30" s="16" t="n">
        <v>1165266</v>
      </c>
      <c r="AA30" s="7"/>
      <c r="AB30" s="7"/>
      <c r="AC30" s="16" t="n">
        <v>36955083</v>
      </c>
      <c r="AD30" s="16" t="n">
        <v>17477786</v>
      </c>
      <c r="AE30" s="16" t="n">
        <v>8254352</v>
      </c>
      <c r="AF30" s="16" t="n">
        <v>4024680</v>
      </c>
      <c r="AG30" s="16" t="n">
        <v>4682482</v>
      </c>
      <c r="AH30" s="16" t="n">
        <v>4943494</v>
      </c>
      <c r="AI30" s="8"/>
    </row>
    <row r="31" customFormat="false" ht="16.4" hidden="false" customHeight="false" outlineLevel="0" collapsed="false">
      <c r="B31" s="9"/>
      <c r="C31" s="14"/>
      <c r="D31" s="15" t="s">
        <v>37</v>
      </c>
      <c r="E31" s="16" t="n">
        <v>103978</v>
      </c>
      <c r="F31" s="16" t="n">
        <v>53544</v>
      </c>
      <c r="G31" s="16" t="n">
        <v>29796</v>
      </c>
      <c r="H31" s="16" t="n">
        <v>19739</v>
      </c>
      <c r="I31" s="16" t="n">
        <v>22639</v>
      </c>
      <c r="J31" s="16" t="n">
        <v>26240</v>
      </c>
      <c r="K31" s="7"/>
      <c r="L31" s="7"/>
      <c r="M31" s="16" t="n">
        <v>1419952</v>
      </c>
      <c r="N31" s="16" t="n">
        <v>797025</v>
      </c>
      <c r="O31" s="16" t="n">
        <v>361150</v>
      </c>
      <c r="P31" s="16" t="n">
        <v>295164</v>
      </c>
      <c r="Q31" s="16" t="n">
        <v>272780</v>
      </c>
      <c r="R31" s="16" t="n">
        <v>277347</v>
      </c>
      <c r="S31" s="7"/>
      <c r="T31" s="7"/>
      <c r="U31" s="16" t="n">
        <v>4283088</v>
      </c>
      <c r="V31" s="16" t="n">
        <v>2463183</v>
      </c>
      <c r="W31" s="16" t="n">
        <v>1276229</v>
      </c>
      <c r="X31" s="16" t="n">
        <v>703879</v>
      </c>
      <c r="Y31" s="16" t="n">
        <v>683795</v>
      </c>
      <c r="Z31" s="16" t="n">
        <v>1167832</v>
      </c>
      <c r="AA31" s="7"/>
      <c r="AB31" s="7"/>
      <c r="AC31" s="16" t="n">
        <v>35141322</v>
      </c>
      <c r="AD31" s="16" t="n">
        <v>17333247</v>
      </c>
      <c r="AE31" s="16" t="n">
        <v>7965908</v>
      </c>
      <c r="AF31" s="16" t="n">
        <v>4075009</v>
      </c>
      <c r="AG31" s="16" t="n">
        <v>4628216</v>
      </c>
      <c r="AH31" s="16" t="n">
        <v>5116177</v>
      </c>
      <c r="AI31" s="8"/>
    </row>
    <row r="32" customFormat="false" ht="16.4" hidden="false" customHeight="false" outlineLevel="0" collapsed="false">
      <c r="B32" s="9"/>
      <c r="C32" s="14"/>
      <c r="D32" s="15" t="s">
        <v>38</v>
      </c>
      <c r="E32" s="16" t="n">
        <v>104751</v>
      </c>
      <c r="F32" s="16" t="n">
        <v>56776</v>
      </c>
      <c r="G32" s="16" t="n">
        <v>30679</v>
      </c>
      <c r="H32" s="16" t="n">
        <v>24003</v>
      </c>
      <c r="I32" s="16" t="n">
        <v>15793</v>
      </c>
      <c r="J32" s="16" t="n">
        <v>26653</v>
      </c>
      <c r="K32" s="7"/>
      <c r="L32" s="7"/>
      <c r="M32" s="16" t="n">
        <v>1405018</v>
      </c>
      <c r="N32" s="16" t="n">
        <v>726837</v>
      </c>
      <c r="O32" s="16" t="n">
        <v>355358</v>
      </c>
      <c r="P32" s="16" t="n">
        <v>255717</v>
      </c>
      <c r="Q32" s="16" t="n">
        <v>249857</v>
      </c>
      <c r="R32" s="16" t="n">
        <v>294179</v>
      </c>
      <c r="S32" s="7"/>
      <c r="T32" s="7"/>
      <c r="U32" s="16" t="n">
        <v>4334589</v>
      </c>
      <c r="V32" s="16" t="n">
        <v>2466678</v>
      </c>
      <c r="W32" s="16" t="n">
        <v>1224558</v>
      </c>
      <c r="X32" s="16" t="n">
        <v>711015</v>
      </c>
      <c r="Y32" s="16" t="n">
        <v>683386</v>
      </c>
      <c r="Z32" s="16" t="n">
        <v>1184312</v>
      </c>
      <c r="AA32" s="7"/>
      <c r="AB32" s="7"/>
      <c r="AC32" s="16" t="n">
        <v>35183433</v>
      </c>
      <c r="AD32" s="16" t="n">
        <v>17020661</v>
      </c>
      <c r="AE32" s="16" t="n">
        <v>8135241</v>
      </c>
      <c r="AF32" s="16" t="n">
        <v>3947712</v>
      </c>
      <c r="AG32" s="16" t="n">
        <v>4766707</v>
      </c>
      <c r="AH32" s="16" t="n">
        <v>5053367</v>
      </c>
      <c r="AI32" s="8"/>
    </row>
    <row r="33" customFormat="false" ht="16.4" hidden="false" customHeight="false" outlineLevel="0" collapsed="false">
      <c r="B33" s="9"/>
      <c r="C33" s="14"/>
      <c r="D33" s="15" t="s">
        <v>39</v>
      </c>
      <c r="E33" s="16" t="n">
        <v>104024</v>
      </c>
      <c r="F33" s="16" t="n">
        <v>53432</v>
      </c>
      <c r="G33" s="16" t="n">
        <v>29633</v>
      </c>
      <c r="H33" s="16" t="n">
        <v>21799</v>
      </c>
      <c r="I33" s="16" t="n">
        <v>15890</v>
      </c>
      <c r="J33" s="16" t="n">
        <v>24420</v>
      </c>
      <c r="K33" s="7"/>
      <c r="L33" s="7"/>
      <c r="M33" s="16" t="n">
        <v>1365614</v>
      </c>
      <c r="N33" s="16" t="n">
        <v>707675</v>
      </c>
      <c r="O33" s="16" t="n">
        <v>353785</v>
      </c>
      <c r="P33" s="16" t="n">
        <v>197670</v>
      </c>
      <c r="Q33" s="16" t="n">
        <v>256155</v>
      </c>
      <c r="R33" s="16" t="n">
        <v>275523</v>
      </c>
      <c r="S33" s="7"/>
      <c r="T33" s="7"/>
      <c r="U33" s="16" t="n">
        <v>4464856</v>
      </c>
      <c r="V33" s="16" t="n">
        <v>2497372</v>
      </c>
      <c r="W33" s="16" t="n">
        <v>1214119</v>
      </c>
      <c r="X33" s="16" t="n">
        <v>711293</v>
      </c>
      <c r="Y33" s="16" t="n">
        <v>748025</v>
      </c>
      <c r="Z33" s="16" t="n">
        <v>1182629</v>
      </c>
      <c r="AA33" s="7"/>
      <c r="AB33" s="7"/>
      <c r="AC33" s="16" t="n">
        <v>36504091</v>
      </c>
      <c r="AD33" s="16" t="n">
        <v>17666150</v>
      </c>
      <c r="AE33" s="16" t="n">
        <v>8213461</v>
      </c>
      <c r="AF33" s="16" t="n">
        <v>4109884</v>
      </c>
      <c r="AG33" s="16" t="n">
        <v>4615435</v>
      </c>
      <c r="AH33" s="16" t="n">
        <v>5078607</v>
      </c>
      <c r="AI33" s="8"/>
    </row>
    <row r="34" customFormat="false" ht="16.4" hidden="false" customHeight="false" outlineLevel="0" collapsed="false">
      <c r="B34" s="9"/>
      <c r="C34" s="14"/>
      <c r="D34" s="15" t="s">
        <v>40</v>
      </c>
      <c r="E34" s="16" t="n">
        <v>106082</v>
      </c>
      <c r="F34" s="16" t="n">
        <v>54714</v>
      </c>
      <c r="G34" s="16" t="n">
        <v>29895</v>
      </c>
      <c r="H34" s="16" t="n">
        <v>21709</v>
      </c>
      <c r="I34" s="16" t="n">
        <v>16152</v>
      </c>
      <c r="J34" s="16" t="n">
        <v>24921</v>
      </c>
      <c r="K34" s="7"/>
      <c r="L34" s="7"/>
      <c r="M34" s="16" t="n">
        <v>1621443</v>
      </c>
      <c r="N34" s="16" t="n">
        <v>726540</v>
      </c>
      <c r="O34" s="16" t="n">
        <v>362680</v>
      </c>
      <c r="P34" s="16" t="n">
        <v>216133</v>
      </c>
      <c r="Q34" s="16" t="n">
        <v>252849</v>
      </c>
      <c r="R34" s="16" t="n">
        <v>271384</v>
      </c>
      <c r="S34" s="7"/>
      <c r="T34" s="7"/>
      <c r="U34" s="16" t="n">
        <v>4423364</v>
      </c>
      <c r="V34" s="16" t="n">
        <v>2624189</v>
      </c>
      <c r="W34" s="16" t="n">
        <v>1441752</v>
      </c>
      <c r="X34" s="16" t="n">
        <v>664676</v>
      </c>
      <c r="Y34" s="16" t="n">
        <v>675327</v>
      </c>
      <c r="Z34" s="16" t="n">
        <v>1185989</v>
      </c>
      <c r="AA34" s="7"/>
      <c r="AB34" s="7"/>
      <c r="AC34" s="16" t="n">
        <v>37023532</v>
      </c>
      <c r="AD34" s="16" t="n">
        <v>17638124</v>
      </c>
      <c r="AE34" s="16" t="n">
        <v>8174642</v>
      </c>
      <c r="AF34" s="16" t="n">
        <v>3900099</v>
      </c>
      <c r="AG34" s="16" t="n">
        <v>4673197</v>
      </c>
      <c r="AH34" s="16" t="n">
        <v>5102555</v>
      </c>
      <c r="AI34" s="8"/>
    </row>
    <row r="35" customFormat="false" ht="14.25" hidden="false" customHeight="false" outlineLevel="0" collapsed="false">
      <c r="B35" s="9"/>
      <c r="C35" s="18"/>
      <c r="D35" s="19" t="s">
        <v>41</v>
      </c>
      <c r="E35" s="20" t="n">
        <f aca="false" t="array" ref="E35:E35">ROUND(AVERAGE(IF((ISNUMBER(E5:E34))*(E5:E34&lt;LARGE(E5:E34,2))*(E5:E34&gt;SMALL(E5:E34,2)),E5:E34)),0)</f>
        <v>104680</v>
      </c>
      <c r="F35" s="20" t="n">
        <f aca="false" t="array" ref="F35:F35">ROUND(AVERAGE(IF((ISNUMBER(F5:F34))*(F5:F34&lt;LARGE(F5:F34,2))*(F5:F34&gt;SMALL(F5:F34,2)),F5:F34)),0)</f>
        <v>55872</v>
      </c>
      <c r="G35" s="20" t="n">
        <f aca="false" t="array" ref="G35:G35">ROUND(AVERAGE(IF((ISNUMBER(G5:G34))*(G5:G34&lt;LARGE(G5:G34,2))*(G5:G34&gt;SMALL(G5:G34,2)),G5:G34)),0)</f>
        <v>32364</v>
      </c>
      <c r="H35" s="20" t="n">
        <f aca="false" t="array" ref="H35:H35">ROUND(AVERAGE(IF((ISNUMBER(H5:H34))*(H5:H34&lt;LARGE(H5:H34,2))*(H5:H34&gt;SMALL(H5:H34,2)),H5:H34)),0)</f>
        <v>20691</v>
      </c>
      <c r="I35" s="20" t="n">
        <f aca="false" t="array" ref="I35:I35">ROUND(AVERAGE(IF((ISNUMBER(I5:I34))*(I5:I34&lt;LARGE(I5:I34,2))*(I5:I34&gt;SMALL(I5:I34,2)),I5:I34)),0)</f>
        <v>20620</v>
      </c>
      <c r="J35" s="20" t="n">
        <f aca="false" t="array" ref="J35:J35">ROUND(AVERAGE(IF((ISNUMBER(J5:J34))*(J5:J34&lt;LARGE(J5:J34,2))*(J5:J34&gt;SMALL(J5:J34,2)),J5:J34)),0)</f>
        <v>23785</v>
      </c>
      <c r="K35" s="20"/>
      <c r="L35" s="20"/>
      <c r="M35" s="20" t="n">
        <f aca="false" t="array" ref="M35:M35">ROUND(AVERAGE(IF((ISNUMBER(M5:M34))*(M5:M34&lt;LARGE(M5:M34,2))*(M5:M34&gt;SMALL(M5:M34,2)),M5:M34)),0)</f>
        <v>1521100</v>
      </c>
      <c r="N35" s="20" t="n">
        <f aca="false" t="array" ref="N35:N35">ROUND(AVERAGE(IF((ISNUMBER(N5:N34))*(N5:N34&lt;LARGE(N5:N34,2))*(N5:N34&gt;SMALL(N5:N34,2)),N5:N34)),0)</f>
        <v>749871</v>
      </c>
      <c r="O35" s="20" t="n">
        <f aca="false" t="array" ref="O35:O35">ROUND(AVERAGE(IF((ISNUMBER(O5:O34))*(O5:O34&lt;LARGE(O5:O34,2))*(O5:O34&gt;SMALL(O5:O34,2)),O5:O34)),0)</f>
        <v>383876</v>
      </c>
      <c r="P35" s="20" t="n">
        <f aca="false" t="array" ref="P35:P35">ROUND(AVERAGE(IF((ISNUMBER(P5:P34))*(P5:P34&lt;LARGE(P5:P34,2))*(P5:P34&gt;SMALL(P5:P34,2)),P5:P34)),0)</f>
        <v>270012</v>
      </c>
      <c r="Q35" s="20" t="n">
        <f aca="false" t="array" ref="Q35:Q35">ROUND(AVERAGE(IF((ISNUMBER(Q5:Q34))*(Q5:Q34&lt;LARGE(Q5:Q34,2))*(Q5:Q34&gt;SMALL(Q5:Q34,2)),Q5:Q34)),0)</f>
        <v>231602</v>
      </c>
      <c r="R35" s="20" t="n">
        <f aca="false" t="array" ref="R35:R35">ROUND(AVERAGE(IF((ISNUMBER(R5:R34))*(R5:R34&lt;LARGE(R5:R34,2))*(R5:R34&gt;SMALL(R5:R34,2)),R5:R34)),0)</f>
        <v>283263</v>
      </c>
      <c r="S35" s="20"/>
      <c r="T35" s="20"/>
      <c r="U35" s="20" t="n">
        <f aca="false" t="array" ref="U35:U35">ROUND(AVERAGE(IF((ISNUMBER(U5:U34))*(U5:U34&lt;LARGE(U5:U34,2))*(U5:U34&gt;SMALL(U5:U34,2)),U5:U34)),0)</f>
        <v>4350333</v>
      </c>
      <c r="V35" s="20" t="n">
        <f aca="false" t="array" ref="V35:V35">ROUND(AVERAGE(IF((ISNUMBER(V5:V34))*(V5:V34&lt;LARGE(V5:V34,2))*(V5:V34&gt;SMALL(V5:V34,2)),V5:V34)),0)</f>
        <v>2513862</v>
      </c>
      <c r="W35" s="20" t="n">
        <f aca="false" t="array" ref="W35:W35">ROUND(AVERAGE(IF((ISNUMBER(W5:W34))*(W5:W34&lt;LARGE(W5:W34,2))*(W5:W34&gt;SMALL(W5:W34,2)),W5:W34)),0)</f>
        <v>1266438</v>
      </c>
      <c r="X35" s="20" t="n">
        <f aca="false" t="array" ref="X35:X35">ROUND(AVERAGE(IF((ISNUMBER(X5:X34))*(X5:X34&lt;LARGE(X5:X34,2))*(X5:X34&gt;SMALL(X5:X34,2)),X5:X34)),0)</f>
        <v>681865</v>
      </c>
      <c r="Y35" s="20" t="n">
        <f aca="false" t="array" ref="Y35:Y35">ROUND(AVERAGE(IF((ISNUMBER(Y5:Y34))*(Y5:Y34&lt;LARGE(Y5:Y34,2))*(Y5:Y34&gt;SMALL(Y5:Y34,2)),Y5:Y34)),0)</f>
        <v>695559</v>
      </c>
      <c r="Z35" s="20" t="n">
        <f aca="false" t="array" ref="Z35:Z35">ROUND(AVERAGE(IF((ISNUMBER(Z5:Z34))*(Z5:Z34&lt;LARGE(Z5:Z34,2))*(Z5:Z34&gt;SMALL(Z5:Z34,2)),Z5:Z34)),0)</f>
        <v>1178110</v>
      </c>
      <c r="AA35" s="20"/>
      <c r="AB35" s="20"/>
      <c r="AC35" s="20" t="n">
        <f aca="false" t="array" ref="AC35:AC35">ROUND(AVERAGE(IF((ISNUMBER(AC5:AC34))*(AC5:AC34&lt;LARGE(AC5:AC34,2))*(AC5:AC34&gt;SMALL(AC5:AC34,2)),AC5:AC34)),0)</f>
        <v>35940984</v>
      </c>
      <c r="AD35" s="20" t="n">
        <f aca="false" t="array" ref="AD35:AD35">ROUND(AVERAGE(IF((ISNUMBER(AD5:AD34))*(AD5:AD34&lt;LARGE(AD5:AD34,2))*(AD5:AD34&gt;SMALL(AD5:AD34,2)),AD5:AD34)),0)</f>
        <v>17398136</v>
      </c>
      <c r="AE35" s="20" t="n">
        <f aca="false" t="array" ref="AE35:AE35">ROUND(AVERAGE(IF((ISNUMBER(AE5:AE34))*(AE5:AE34&lt;LARGE(AE5:AE34,2))*(AE5:AE34&gt;SMALL(AE5:AE34,2)),AE5:AE34)),0)</f>
        <v>8122056</v>
      </c>
      <c r="AF35" s="20" t="n">
        <f aca="false" t="array" ref="AF35:AF35">ROUND(AVERAGE(IF((ISNUMBER(AF5:AF34))*(AF5:AF34&lt;LARGE(AF5:AF34,2))*(AF5:AF34&gt;SMALL(AF5:AF34,2)),AF5:AF34)),0)</f>
        <v>4038148</v>
      </c>
      <c r="AG35" s="20" t="n">
        <f aca="false" t="array" ref="AG35:AG35">ROUND(AVERAGE(IF((ISNUMBER(AG5:AG34))*(AG5:AG34&lt;LARGE(AG5:AG34,2))*(AG5:AG34&gt;SMALL(AG5:AG34,2)),AG5:AG34)),0)</f>
        <v>4690080</v>
      </c>
      <c r="AH35" s="21" t="n">
        <f aca="false" t="array" ref="AH35:AH35">ROUND(AVERAGE(IF((ISNUMBER(AH5:AH34))*(AH5:AH34&lt;LARGE(AH5:AH34,2))*(AH5:AH34&gt;SMALL(AH5:AH34,2)),AH5:AH34)),0)</f>
        <v>4988742</v>
      </c>
      <c r="AI35" s="8"/>
    </row>
    <row r="36" customFormat="false" ht="14.25" hidden="false" customHeight="false" outlineLevel="0" collapsed="false"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5"/>
    </row>
    <row r="37" customFormat="false" ht="14.25" hidden="false" customHeight="false" outlineLevel="0" collapsed="false">
      <c r="B37" s="26"/>
      <c r="C37" s="7"/>
      <c r="D37" s="1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customFormat="false" ht="33.85" hidden="false" customHeight="false" outlineLevel="0" collapsed="false">
      <c r="B38" s="1" t="s">
        <v>42</v>
      </c>
      <c r="C38" s="2"/>
      <c r="D38" s="2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/>
    </row>
    <row r="39" customFormat="false" ht="14.25" hidden="false" customHeight="false" outlineLevel="0" collapsed="false">
      <c r="B39" s="5"/>
      <c r="C39" s="6"/>
      <c r="D39" s="2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/>
    </row>
    <row r="40" customFormat="false" ht="14.25" hidden="false" customHeight="false" outlineLevel="0" collapsed="false">
      <c r="B40" s="9"/>
      <c r="C40" s="10" t="s">
        <v>1</v>
      </c>
      <c r="D40" s="11"/>
      <c r="E40" s="11" t="s">
        <v>2</v>
      </c>
      <c r="F40" s="11" t="s">
        <v>3</v>
      </c>
      <c r="G40" s="11" t="s">
        <v>4</v>
      </c>
      <c r="H40" s="11" t="s">
        <v>5</v>
      </c>
      <c r="I40" s="11" t="s">
        <v>6</v>
      </c>
      <c r="J40" s="11" t="s">
        <v>7</v>
      </c>
      <c r="K40" s="12" t="s">
        <v>8</v>
      </c>
      <c r="L40" s="12"/>
      <c r="M40" s="11" t="s">
        <v>2</v>
      </c>
      <c r="N40" s="11" t="s">
        <v>3</v>
      </c>
      <c r="O40" s="11" t="s">
        <v>4</v>
      </c>
      <c r="P40" s="11" t="s">
        <v>5</v>
      </c>
      <c r="Q40" s="11" t="s">
        <v>6</v>
      </c>
      <c r="R40" s="11" t="s">
        <v>7</v>
      </c>
      <c r="S40" s="12" t="s">
        <v>43</v>
      </c>
      <c r="T40" s="12"/>
      <c r="U40" s="11" t="s">
        <v>2</v>
      </c>
      <c r="V40" s="11" t="s">
        <v>3</v>
      </c>
      <c r="W40" s="11" t="s">
        <v>4</v>
      </c>
      <c r="X40" s="11" t="s">
        <v>5</v>
      </c>
      <c r="Y40" s="11" t="s">
        <v>6</v>
      </c>
      <c r="Z40" s="11" t="s">
        <v>7</v>
      </c>
      <c r="AA40" s="12" t="s">
        <v>10</v>
      </c>
      <c r="AB40" s="12"/>
      <c r="AC40" s="11" t="s">
        <v>2</v>
      </c>
      <c r="AD40" s="11" t="s">
        <v>3</v>
      </c>
      <c r="AE40" s="11" t="s">
        <v>4</v>
      </c>
      <c r="AF40" s="11" t="s">
        <v>5</v>
      </c>
      <c r="AG40" s="11" t="s">
        <v>6</v>
      </c>
      <c r="AH40" s="13" t="s">
        <v>7</v>
      </c>
      <c r="AI40" s="8"/>
    </row>
    <row r="41" customFormat="false" ht="16.4" hidden="false" customHeight="false" outlineLevel="0" collapsed="false">
      <c r="B41" s="9"/>
      <c r="C41" s="14"/>
      <c r="D41" s="15" t="s">
        <v>11</v>
      </c>
      <c r="E41" s="16" t="n">
        <v>86293</v>
      </c>
      <c r="F41" s="16" t="n">
        <v>50153</v>
      </c>
      <c r="G41" s="16" t="n">
        <v>24724</v>
      </c>
      <c r="H41" s="16" t="n">
        <v>16692</v>
      </c>
      <c r="I41" s="16" t="n">
        <v>17955</v>
      </c>
      <c r="J41" s="16" t="n">
        <v>13613</v>
      </c>
      <c r="K41" s="7"/>
      <c r="L41" s="7"/>
      <c r="M41" s="16" t="n">
        <v>813124</v>
      </c>
      <c r="N41" s="16" t="n">
        <v>426432</v>
      </c>
      <c r="O41" s="16" t="n">
        <v>247020</v>
      </c>
      <c r="P41" s="16" t="n">
        <v>217382</v>
      </c>
      <c r="Q41" s="16" t="n">
        <v>115932</v>
      </c>
      <c r="R41" s="16" t="n">
        <v>66265</v>
      </c>
      <c r="S41" s="7"/>
      <c r="T41" s="7"/>
      <c r="U41" s="16" t="n">
        <v>2565219</v>
      </c>
      <c r="V41" s="16" t="n">
        <v>1477512</v>
      </c>
      <c r="W41" s="16" t="n">
        <v>770418</v>
      </c>
      <c r="X41" s="16" t="n">
        <v>462121</v>
      </c>
      <c r="Y41" s="16" t="n">
        <v>410124</v>
      </c>
      <c r="Z41" s="16" t="n">
        <v>231508</v>
      </c>
      <c r="AA41" s="7"/>
      <c r="AB41" s="7"/>
      <c r="AC41" s="16" t="n">
        <v>6327885</v>
      </c>
      <c r="AD41" s="16" t="n">
        <v>3570898</v>
      </c>
      <c r="AE41" s="16" t="n">
        <v>2129093</v>
      </c>
      <c r="AF41" s="16" t="n">
        <v>1196938</v>
      </c>
      <c r="AG41" s="16" t="n">
        <v>1200406</v>
      </c>
      <c r="AH41" s="16" t="n">
        <v>840576</v>
      </c>
      <c r="AI41" s="8"/>
    </row>
    <row r="42" customFormat="false" ht="16.4" hidden="false" customHeight="false" outlineLevel="0" collapsed="false">
      <c r="B42" s="9"/>
      <c r="C42" s="14"/>
      <c r="D42" s="15" t="s">
        <v>12</v>
      </c>
      <c r="E42" s="16" t="n">
        <v>85547</v>
      </c>
      <c r="F42" s="16" t="n">
        <v>44437</v>
      </c>
      <c r="G42" s="16" t="n">
        <v>28504</v>
      </c>
      <c r="H42" s="16" t="n">
        <v>18482</v>
      </c>
      <c r="I42" s="16" t="n">
        <v>13998</v>
      </c>
      <c r="J42" s="16" t="n">
        <v>16712</v>
      </c>
      <c r="K42" s="7"/>
      <c r="L42" s="7"/>
      <c r="M42" s="16" t="n">
        <v>794194</v>
      </c>
      <c r="N42" s="16" t="n">
        <v>429741</v>
      </c>
      <c r="O42" s="16" t="n">
        <v>239367</v>
      </c>
      <c r="P42" s="16" t="n">
        <v>218214</v>
      </c>
      <c r="Q42" s="16" t="n">
        <v>117092</v>
      </c>
      <c r="R42" s="16" t="n">
        <v>64671</v>
      </c>
      <c r="S42" s="7"/>
      <c r="T42" s="7"/>
      <c r="U42" s="16" t="n">
        <v>2674220</v>
      </c>
      <c r="V42" s="16" t="n">
        <v>1436994</v>
      </c>
      <c r="W42" s="16" t="n">
        <v>750167</v>
      </c>
      <c r="X42" s="16" t="n">
        <v>438646</v>
      </c>
      <c r="Y42" s="16" t="n">
        <v>401954</v>
      </c>
      <c r="Z42" s="16" t="n">
        <v>231237</v>
      </c>
      <c r="AA42" s="7"/>
      <c r="AB42" s="7"/>
      <c r="AC42" s="16" t="n">
        <v>6343785</v>
      </c>
      <c r="AD42" s="16" t="n">
        <v>3543388</v>
      </c>
      <c r="AE42" s="16" t="n">
        <v>1951436</v>
      </c>
      <c r="AF42" s="16" t="n">
        <v>1234776</v>
      </c>
      <c r="AG42" s="16" t="n">
        <v>1168631</v>
      </c>
      <c r="AH42" s="16" t="n">
        <v>846016</v>
      </c>
      <c r="AI42" s="8"/>
    </row>
    <row r="43" customFormat="false" ht="16.4" hidden="false" customHeight="false" outlineLevel="0" collapsed="false">
      <c r="B43" s="9"/>
      <c r="C43" s="14"/>
      <c r="D43" s="15" t="s">
        <v>13</v>
      </c>
      <c r="E43" s="16" t="n">
        <v>90016</v>
      </c>
      <c r="F43" s="16" t="n">
        <v>48790</v>
      </c>
      <c r="G43" s="16" t="n">
        <v>28543</v>
      </c>
      <c r="H43" s="16" t="n">
        <v>17972</v>
      </c>
      <c r="I43" s="16" t="n">
        <v>15170</v>
      </c>
      <c r="J43" s="16" t="n">
        <v>20662</v>
      </c>
      <c r="K43" s="7"/>
      <c r="L43" s="7"/>
      <c r="M43" s="16" t="n">
        <v>805281</v>
      </c>
      <c r="N43" s="16" t="n">
        <v>412122</v>
      </c>
      <c r="O43" s="16" t="n">
        <v>239399</v>
      </c>
      <c r="P43" s="16" t="n">
        <v>230578</v>
      </c>
      <c r="Q43" s="16" t="n">
        <v>113659</v>
      </c>
      <c r="R43" s="16" t="n">
        <v>63241</v>
      </c>
      <c r="S43" s="7"/>
      <c r="T43" s="7"/>
      <c r="U43" s="16" t="n">
        <v>2661640</v>
      </c>
      <c r="V43" s="16" t="n">
        <v>1481138</v>
      </c>
      <c r="W43" s="16" t="n">
        <v>736101</v>
      </c>
      <c r="X43" s="16" t="n">
        <v>451472</v>
      </c>
      <c r="Y43" s="16" t="n">
        <v>387816</v>
      </c>
      <c r="Z43" s="16" t="n">
        <v>232957</v>
      </c>
      <c r="AA43" s="7"/>
      <c r="AB43" s="7"/>
      <c r="AC43" s="16" t="n">
        <v>6668180</v>
      </c>
      <c r="AD43" s="16" t="n">
        <v>3533323</v>
      </c>
      <c r="AE43" s="16" t="n">
        <v>1939412</v>
      </c>
      <c r="AF43" s="16" t="n">
        <v>1209138</v>
      </c>
      <c r="AG43" s="16" t="n">
        <v>1145928</v>
      </c>
      <c r="AH43" s="16" t="n">
        <v>781724</v>
      </c>
      <c r="AI43" s="8"/>
    </row>
    <row r="44" customFormat="false" ht="16.4" hidden="false" customHeight="false" outlineLevel="0" collapsed="false">
      <c r="B44" s="9"/>
      <c r="C44" s="14"/>
      <c r="D44" s="15" t="s">
        <v>14</v>
      </c>
      <c r="E44" s="16" t="n">
        <v>86600</v>
      </c>
      <c r="F44" s="16" t="n">
        <v>48914</v>
      </c>
      <c r="G44" s="16" t="n">
        <v>25201</v>
      </c>
      <c r="H44" s="16" t="n">
        <v>19207</v>
      </c>
      <c r="I44" s="16" t="n">
        <v>15603</v>
      </c>
      <c r="J44" s="16" t="n">
        <v>21114</v>
      </c>
      <c r="K44" s="7"/>
      <c r="L44" s="7"/>
      <c r="M44" s="16" t="n">
        <v>798626</v>
      </c>
      <c r="N44" s="16" t="n">
        <v>438374</v>
      </c>
      <c r="O44" s="16" t="n">
        <v>240032</v>
      </c>
      <c r="P44" s="16" t="n">
        <v>141816</v>
      </c>
      <c r="Q44" s="16" t="n">
        <v>113477</v>
      </c>
      <c r="R44" s="16" t="n">
        <v>64781</v>
      </c>
      <c r="S44" s="7"/>
      <c r="T44" s="7"/>
      <c r="U44" s="16" t="n">
        <v>2672480</v>
      </c>
      <c r="V44" s="16" t="n">
        <v>1471696</v>
      </c>
      <c r="W44" s="16" t="n">
        <v>780046</v>
      </c>
      <c r="X44" s="16" t="n">
        <v>456341</v>
      </c>
      <c r="Y44" s="16" t="n">
        <v>420996</v>
      </c>
      <c r="Z44" s="16" t="n">
        <v>248460</v>
      </c>
      <c r="AA44" s="7"/>
      <c r="AB44" s="7"/>
      <c r="AC44" s="16" t="n">
        <v>6376912</v>
      </c>
      <c r="AD44" s="16" t="n">
        <v>3685131</v>
      </c>
      <c r="AE44" s="16" t="n">
        <v>2022451</v>
      </c>
      <c r="AF44" s="16" t="n">
        <v>1199979</v>
      </c>
      <c r="AG44" s="16" t="n">
        <v>1189866</v>
      </c>
      <c r="AH44" s="16" t="n">
        <v>839603</v>
      </c>
      <c r="AI44" s="8"/>
    </row>
    <row r="45" customFormat="false" ht="16.4" hidden="false" customHeight="false" outlineLevel="0" collapsed="false">
      <c r="B45" s="9"/>
      <c r="C45" s="14"/>
      <c r="D45" s="15" t="s">
        <v>15</v>
      </c>
      <c r="E45" s="16" t="n">
        <v>88847</v>
      </c>
      <c r="F45" s="16" t="n">
        <v>47787</v>
      </c>
      <c r="G45" s="16" t="n">
        <v>26914</v>
      </c>
      <c r="H45" s="16" t="n">
        <v>18326</v>
      </c>
      <c r="I45" s="16" t="n">
        <v>13077</v>
      </c>
      <c r="J45" s="16" t="n">
        <v>18085</v>
      </c>
      <c r="K45" s="7"/>
      <c r="L45" s="7"/>
      <c r="M45" s="16" t="n">
        <v>825917</v>
      </c>
      <c r="N45" s="16" t="n">
        <v>442376</v>
      </c>
      <c r="O45" s="16" t="n">
        <v>261731</v>
      </c>
      <c r="P45" s="16" t="n">
        <v>157371</v>
      </c>
      <c r="Q45" s="16" t="n">
        <v>112072</v>
      </c>
      <c r="R45" s="16" t="n">
        <v>65652</v>
      </c>
      <c r="S45" s="7"/>
      <c r="T45" s="7"/>
      <c r="U45" s="16" t="n">
        <v>2682044</v>
      </c>
      <c r="V45" s="16" t="n">
        <v>1459901</v>
      </c>
      <c r="W45" s="16" t="n">
        <v>782727</v>
      </c>
      <c r="X45" s="16" t="n">
        <v>426543</v>
      </c>
      <c r="Y45" s="16" t="n">
        <v>460006</v>
      </c>
      <c r="Z45" s="16" t="n">
        <v>244632</v>
      </c>
      <c r="AA45" s="7"/>
      <c r="AB45" s="7"/>
      <c r="AC45" s="16" t="n">
        <v>6572909</v>
      </c>
      <c r="AD45" s="16" t="n">
        <v>3703566</v>
      </c>
      <c r="AE45" s="16" t="n">
        <v>1860024</v>
      </c>
      <c r="AF45" s="16" t="n">
        <v>1097561</v>
      </c>
      <c r="AG45" s="16" t="n">
        <v>1151296</v>
      </c>
      <c r="AH45" s="16" t="n">
        <v>777829</v>
      </c>
      <c r="AI45" s="8"/>
    </row>
    <row r="46" customFormat="false" ht="16.4" hidden="false" customHeight="false" outlineLevel="0" collapsed="false">
      <c r="B46" s="9"/>
      <c r="C46" s="14"/>
      <c r="D46" s="15" t="s">
        <v>16</v>
      </c>
      <c r="E46" s="16" t="n">
        <v>86772</v>
      </c>
      <c r="F46" s="16" t="n">
        <v>50131</v>
      </c>
      <c r="G46" s="16" t="n">
        <v>26564</v>
      </c>
      <c r="H46" s="16" t="n">
        <v>22085</v>
      </c>
      <c r="I46" s="16" t="n">
        <v>13016</v>
      </c>
      <c r="J46" s="16" t="n">
        <v>18864</v>
      </c>
      <c r="K46" s="7"/>
      <c r="L46" s="7"/>
      <c r="M46" s="16" t="n">
        <v>808791</v>
      </c>
      <c r="N46" s="16" t="n">
        <v>420348</v>
      </c>
      <c r="O46" s="16" t="n">
        <v>310939</v>
      </c>
      <c r="P46" s="16" t="n">
        <v>251553</v>
      </c>
      <c r="Q46" s="16" t="n">
        <v>112404</v>
      </c>
      <c r="R46" s="16" t="n">
        <v>64540</v>
      </c>
      <c r="S46" s="7"/>
      <c r="T46" s="7"/>
      <c r="U46" s="16" t="n">
        <v>2670764</v>
      </c>
      <c r="V46" s="16" t="n">
        <v>1472687</v>
      </c>
      <c r="W46" s="16" t="n">
        <v>717124</v>
      </c>
      <c r="X46" s="16" t="n">
        <v>443468</v>
      </c>
      <c r="Y46" s="16" t="n">
        <v>438743</v>
      </c>
      <c r="Z46" s="16" t="n">
        <v>226141</v>
      </c>
      <c r="AA46" s="7"/>
      <c r="AB46" s="7"/>
      <c r="AC46" s="16" t="n">
        <v>6472616</v>
      </c>
      <c r="AD46" s="16" t="n">
        <v>3542197</v>
      </c>
      <c r="AE46" s="16" t="n">
        <v>1970439</v>
      </c>
      <c r="AF46" s="16" t="n">
        <v>1204746</v>
      </c>
      <c r="AG46" s="16" t="n">
        <v>1195102</v>
      </c>
      <c r="AH46" s="16" t="n">
        <v>807999</v>
      </c>
      <c r="AI46" s="8"/>
    </row>
    <row r="47" customFormat="false" ht="16.4" hidden="false" customHeight="false" outlineLevel="0" collapsed="false">
      <c r="B47" s="9"/>
      <c r="C47" s="14"/>
      <c r="D47" s="15" t="s">
        <v>17</v>
      </c>
      <c r="E47" s="16" t="n">
        <v>87135</v>
      </c>
      <c r="F47" s="16" t="n">
        <v>48050</v>
      </c>
      <c r="G47" s="16" t="n">
        <v>26435</v>
      </c>
      <c r="H47" s="16" t="n">
        <v>18050</v>
      </c>
      <c r="I47" s="16" t="n">
        <v>17332</v>
      </c>
      <c r="J47" s="16" t="n">
        <v>17490</v>
      </c>
      <c r="K47" s="7"/>
      <c r="L47" s="7"/>
      <c r="M47" s="16" t="n">
        <v>809407</v>
      </c>
      <c r="N47" s="16" t="n">
        <v>429853</v>
      </c>
      <c r="O47" s="16" t="n">
        <v>244652</v>
      </c>
      <c r="P47" s="16" t="n">
        <v>230959</v>
      </c>
      <c r="Q47" s="16" t="n">
        <v>112054</v>
      </c>
      <c r="R47" s="16" t="n">
        <v>67075</v>
      </c>
      <c r="S47" s="7"/>
      <c r="T47" s="7"/>
      <c r="U47" s="16" t="n">
        <v>2623655</v>
      </c>
      <c r="V47" s="16" t="n">
        <v>1343514</v>
      </c>
      <c r="W47" s="16" t="n">
        <v>768570</v>
      </c>
      <c r="X47" s="16" t="n">
        <v>446456</v>
      </c>
      <c r="Y47" s="16" t="n">
        <v>393119</v>
      </c>
      <c r="Z47" s="16" t="n">
        <v>236161</v>
      </c>
      <c r="AA47" s="7"/>
      <c r="AB47" s="7"/>
      <c r="AC47" s="16" t="n">
        <v>6345805</v>
      </c>
      <c r="AD47" s="16" t="n">
        <v>3577255</v>
      </c>
      <c r="AE47" s="16" t="n">
        <v>1981012</v>
      </c>
      <c r="AF47" s="16" t="n">
        <v>1222982</v>
      </c>
      <c r="AG47" s="16" t="n">
        <v>1143850</v>
      </c>
      <c r="AH47" s="16" t="n">
        <v>834639</v>
      </c>
      <c r="AI47" s="8"/>
    </row>
    <row r="48" customFormat="false" ht="16.4" hidden="false" customHeight="false" outlineLevel="0" collapsed="false">
      <c r="B48" s="9"/>
      <c r="C48" s="14"/>
      <c r="D48" s="15" t="s">
        <v>18</v>
      </c>
      <c r="E48" s="16" t="n">
        <v>86084</v>
      </c>
      <c r="F48" s="16" t="n">
        <v>47365</v>
      </c>
      <c r="G48" s="16" t="n">
        <v>27401</v>
      </c>
      <c r="H48" s="16" t="n">
        <v>18360</v>
      </c>
      <c r="I48" s="16" t="n">
        <v>17290</v>
      </c>
      <c r="J48" s="16" t="n">
        <v>18435</v>
      </c>
      <c r="K48" s="7"/>
      <c r="L48" s="7"/>
      <c r="M48" s="16" t="n">
        <v>813214</v>
      </c>
      <c r="N48" s="16" t="n">
        <v>458560</v>
      </c>
      <c r="O48" s="16" t="n">
        <v>233710</v>
      </c>
      <c r="P48" s="16" t="n">
        <v>223957</v>
      </c>
      <c r="Q48" s="16" t="n">
        <v>115509</v>
      </c>
      <c r="R48" s="16" t="n">
        <v>64637</v>
      </c>
      <c r="S48" s="7"/>
      <c r="T48" s="7"/>
      <c r="U48" s="16" t="n">
        <v>2627999</v>
      </c>
      <c r="V48" s="16" t="n">
        <v>1437197</v>
      </c>
      <c r="W48" s="16" t="n">
        <v>811924</v>
      </c>
      <c r="X48" s="16" t="n">
        <v>458885</v>
      </c>
      <c r="Y48" s="16" t="n">
        <v>419402</v>
      </c>
      <c r="Z48" s="16" t="n">
        <v>284718</v>
      </c>
      <c r="AA48" s="7"/>
      <c r="AB48" s="7"/>
      <c r="AC48" s="16" t="n">
        <v>6815651</v>
      </c>
      <c r="AD48" s="16" t="n">
        <v>3593874</v>
      </c>
      <c r="AE48" s="16" t="n">
        <v>1927345</v>
      </c>
      <c r="AF48" s="16" t="n">
        <v>1201756</v>
      </c>
      <c r="AG48" s="16" t="n">
        <v>1169568</v>
      </c>
      <c r="AH48" s="16" t="n">
        <v>835612</v>
      </c>
      <c r="AI48" s="8"/>
    </row>
    <row r="49" customFormat="false" ht="16.4" hidden="false" customHeight="false" outlineLevel="0" collapsed="false">
      <c r="B49" s="9"/>
      <c r="C49" s="14"/>
      <c r="D49" s="15" t="s">
        <v>19</v>
      </c>
      <c r="E49" s="16" t="n">
        <v>83976</v>
      </c>
      <c r="F49" s="16" t="n">
        <v>48200</v>
      </c>
      <c r="G49" s="16" t="n">
        <v>23923</v>
      </c>
      <c r="H49" s="16" t="n">
        <v>18193</v>
      </c>
      <c r="I49" s="16" t="n">
        <v>15805</v>
      </c>
      <c r="J49" s="16" t="n">
        <v>16851</v>
      </c>
      <c r="K49" s="7"/>
      <c r="L49" s="7"/>
      <c r="M49" s="16" t="n">
        <v>817471</v>
      </c>
      <c r="N49" s="16" t="n">
        <v>518448</v>
      </c>
      <c r="O49" s="16" t="n">
        <v>236838</v>
      </c>
      <c r="P49" s="16" t="n">
        <v>223462</v>
      </c>
      <c r="Q49" s="16" t="n">
        <v>111662</v>
      </c>
      <c r="R49" s="16" t="n">
        <v>63367</v>
      </c>
      <c r="S49" s="7"/>
      <c r="T49" s="7"/>
      <c r="U49" s="16" t="n">
        <v>2564761</v>
      </c>
      <c r="V49" s="16" t="n">
        <v>1502481</v>
      </c>
      <c r="W49" s="16" t="n">
        <v>780428</v>
      </c>
      <c r="X49" s="16" t="n">
        <v>452733</v>
      </c>
      <c r="Y49" s="16" t="n">
        <v>417689</v>
      </c>
      <c r="Z49" s="16" t="n">
        <v>240794</v>
      </c>
      <c r="AA49" s="7"/>
      <c r="AB49" s="7"/>
      <c r="AC49" s="16" t="n">
        <v>6483427</v>
      </c>
      <c r="AD49" s="16" t="n">
        <v>3530707</v>
      </c>
      <c r="AE49" s="16" t="n">
        <v>2008375</v>
      </c>
      <c r="AF49" s="16" t="n">
        <v>1196553</v>
      </c>
      <c r="AG49" s="16" t="n">
        <v>1149197</v>
      </c>
      <c r="AH49" s="16" t="n">
        <v>809567</v>
      </c>
      <c r="AI49" s="8"/>
    </row>
    <row r="50" customFormat="false" ht="16.4" hidden="false" customHeight="false" outlineLevel="0" collapsed="false">
      <c r="B50" s="9"/>
      <c r="C50" s="14"/>
      <c r="D50" s="15" t="s">
        <v>20</v>
      </c>
      <c r="E50" s="16" t="n">
        <v>87028</v>
      </c>
      <c r="F50" s="16" t="n">
        <v>49576</v>
      </c>
      <c r="G50" s="16" t="n">
        <v>26161</v>
      </c>
      <c r="H50" s="16" t="n">
        <v>18312</v>
      </c>
      <c r="I50" s="16" t="n">
        <v>16316</v>
      </c>
      <c r="J50" s="16" t="n">
        <v>15209</v>
      </c>
      <c r="K50" s="7"/>
      <c r="L50" s="7"/>
      <c r="M50" s="16" t="n">
        <v>812295</v>
      </c>
      <c r="N50" s="16" t="n">
        <v>538094</v>
      </c>
      <c r="O50" s="16" t="n">
        <v>261148</v>
      </c>
      <c r="P50" s="16" t="n">
        <v>121492</v>
      </c>
      <c r="Q50" s="16" t="n">
        <v>105224</v>
      </c>
      <c r="R50" s="16" t="n">
        <v>63775</v>
      </c>
      <c r="S50" s="7"/>
      <c r="T50" s="7"/>
      <c r="U50" s="16" t="n">
        <v>2641040</v>
      </c>
      <c r="V50" s="16" t="n">
        <v>1375566</v>
      </c>
      <c r="W50" s="16" t="n">
        <v>793420</v>
      </c>
      <c r="X50" s="16" t="n">
        <v>462995</v>
      </c>
      <c r="Y50" s="16" t="n">
        <v>400251</v>
      </c>
      <c r="Z50" s="16" t="n">
        <v>228974</v>
      </c>
      <c r="AA50" s="7"/>
      <c r="AB50" s="7"/>
      <c r="AC50" s="16" t="n">
        <v>6811528</v>
      </c>
      <c r="AD50" s="16" t="n">
        <v>3858191</v>
      </c>
      <c r="AE50" s="16" t="n">
        <v>2084714</v>
      </c>
      <c r="AF50" s="16" t="n">
        <v>1200037</v>
      </c>
      <c r="AG50" s="16" t="n">
        <v>1179462</v>
      </c>
      <c r="AH50" s="16" t="n">
        <v>768904</v>
      </c>
      <c r="AI50" s="8"/>
    </row>
    <row r="51" customFormat="false" ht="16.4" hidden="false" customHeight="false" outlineLevel="0" collapsed="false">
      <c r="B51" s="9"/>
      <c r="C51" s="14"/>
      <c r="D51" s="15" t="s">
        <v>21</v>
      </c>
      <c r="E51" s="16" t="n">
        <v>85734</v>
      </c>
      <c r="F51" s="16" t="n">
        <v>48446</v>
      </c>
      <c r="G51" s="16" t="n">
        <v>27253</v>
      </c>
      <c r="H51" s="16" t="n">
        <v>18933</v>
      </c>
      <c r="I51" s="16" t="n">
        <v>16111</v>
      </c>
      <c r="J51" s="16" t="n">
        <v>12843</v>
      </c>
      <c r="K51" s="7"/>
      <c r="L51" s="7"/>
      <c r="M51" s="16" t="n">
        <v>810944</v>
      </c>
      <c r="N51" s="16" t="n">
        <v>439328</v>
      </c>
      <c r="O51" s="16" t="n">
        <v>261864</v>
      </c>
      <c r="P51" s="16" t="n">
        <v>222068</v>
      </c>
      <c r="Q51" s="16" t="n">
        <v>115862</v>
      </c>
      <c r="R51" s="16" t="n">
        <v>65724</v>
      </c>
      <c r="S51" s="7"/>
      <c r="T51" s="7"/>
      <c r="U51" s="16" t="n">
        <v>2721092</v>
      </c>
      <c r="V51" s="16" t="n">
        <v>1389199</v>
      </c>
      <c r="W51" s="16" t="n">
        <v>749891</v>
      </c>
      <c r="X51" s="16" t="n">
        <v>465595</v>
      </c>
      <c r="Y51" s="16" t="n">
        <v>405339</v>
      </c>
      <c r="Z51" s="16" t="n">
        <v>222669</v>
      </c>
      <c r="AA51" s="7"/>
      <c r="AB51" s="7"/>
      <c r="AC51" s="16" t="n">
        <v>6478822</v>
      </c>
      <c r="AD51" s="16" t="n">
        <v>3672451</v>
      </c>
      <c r="AE51" s="16" t="n">
        <v>1898900</v>
      </c>
      <c r="AF51" s="16" t="n">
        <v>1202728</v>
      </c>
      <c r="AG51" s="16" t="n">
        <v>1149124</v>
      </c>
      <c r="AH51" s="16" t="n">
        <v>836123</v>
      </c>
      <c r="AI51" s="8"/>
    </row>
    <row r="52" customFormat="false" ht="16.4" hidden="false" customHeight="false" outlineLevel="0" collapsed="false">
      <c r="B52" s="9"/>
      <c r="C52" s="14"/>
      <c r="D52" s="15" t="s">
        <v>22</v>
      </c>
      <c r="E52" s="16" t="n">
        <v>86533</v>
      </c>
      <c r="F52" s="16" t="n">
        <v>47746</v>
      </c>
      <c r="G52" s="16" t="n">
        <v>24888</v>
      </c>
      <c r="H52" s="16" t="n">
        <v>15760</v>
      </c>
      <c r="I52" s="16" t="n">
        <v>13071</v>
      </c>
      <c r="J52" s="16" t="n">
        <v>14671</v>
      </c>
      <c r="K52" s="7"/>
      <c r="L52" s="7"/>
      <c r="M52" s="16" t="n">
        <v>802419</v>
      </c>
      <c r="N52" s="16" t="n">
        <v>442807</v>
      </c>
      <c r="O52" s="16" t="n">
        <v>242974</v>
      </c>
      <c r="P52" s="16" t="n">
        <v>233295</v>
      </c>
      <c r="Q52" s="16" t="n">
        <v>113511</v>
      </c>
      <c r="R52" s="16" t="n">
        <v>65629</v>
      </c>
      <c r="S52" s="7"/>
      <c r="T52" s="7"/>
      <c r="U52" s="16" t="n">
        <v>2558063</v>
      </c>
      <c r="V52" s="16" t="n">
        <v>1492651</v>
      </c>
      <c r="W52" s="16" t="n">
        <v>703114</v>
      </c>
      <c r="X52" s="16" t="n">
        <v>444895</v>
      </c>
      <c r="Y52" s="16" t="n">
        <v>392942</v>
      </c>
      <c r="Z52" s="16" t="n">
        <v>225064</v>
      </c>
      <c r="AA52" s="7"/>
      <c r="AB52" s="7"/>
      <c r="AC52" s="16" t="n">
        <v>6508917</v>
      </c>
      <c r="AD52" s="16" t="n">
        <v>3852241</v>
      </c>
      <c r="AE52" s="16" t="n">
        <v>2032603</v>
      </c>
      <c r="AF52" s="16" t="n">
        <v>1220398</v>
      </c>
      <c r="AG52" s="16" t="n">
        <v>1173560</v>
      </c>
      <c r="AH52" s="16" t="n">
        <v>827098</v>
      </c>
      <c r="AI52" s="8"/>
    </row>
    <row r="53" customFormat="false" ht="16.4" hidden="false" customHeight="false" outlineLevel="0" collapsed="false">
      <c r="B53" s="9"/>
      <c r="C53" s="14"/>
      <c r="D53" s="15" t="s">
        <v>23</v>
      </c>
      <c r="E53" s="16" t="n">
        <v>86971</v>
      </c>
      <c r="F53" s="16" t="n">
        <v>45209</v>
      </c>
      <c r="G53" s="16" t="n">
        <v>27404</v>
      </c>
      <c r="H53" s="16" t="n">
        <v>18793</v>
      </c>
      <c r="I53" s="16" t="n">
        <v>15613</v>
      </c>
      <c r="J53" s="16" t="n">
        <v>14326</v>
      </c>
      <c r="K53" s="7"/>
      <c r="L53" s="7"/>
      <c r="M53" s="16" t="n">
        <v>791649</v>
      </c>
      <c r="N53" s="16" t="n">
        <v>518875</v>
      </c>
      <c r="O53" s="16" t="n">
        <v>269231</v>
      </c>
      <c r="P53" s="16" t="n">
        <v>225844</v>
      </c>
      <c r="Q53" s="16" t="n">
        <v>123398</v>
      </c>
      <c r="R53" s="16" t="n">
        <v>66976</v>
      </c>
      <c r="S53" s="7"/>
      <c r="T53" s="7"/>
      <c r="U53" s="16" t="n">
        <v>2619212</v>
      </c>
      <c r="V53" s="16" t="n">
        <v>1497490</v>
      </c>
      <c r="W53" s="16" t="n">
        <v>771585</v>
      </c>
      <c r="X53" s="16" t="n">
        <v>431201</v>
      </c>
      <c r="Y53" s="16" t="n">
        <v>386469</v>
      </c>
      <c r="Z53" s="16" t="n">
        <v>262906</v>
      </c>
      <c r="AA53" s="7"/>
      <c r="AB53" s="7"/>
      <c r="AC53" s="16" t="n">
        <v>6890149</v>
      </c>
      <c r="AD53" s="16" t="n">
        <v>3923668</v>
      </c>
      <c r="AE53" s="16" t="n">
        <v>2067162</v>
      </c>
      <c r="AF53" s="16" t="n">
        <v>1215292</v>
      </c>
      <c r="AG53" s="16" t="n">
        <v>1194498</v>
      </c>
      <c r="AH53" s="16" t="n">
        <v>813304</v>
      </c>
      <c r="AI53" s="8"/>
    </row>
    <row r="54" customFormat="false" ht="16.4" hidden="false" customHeight="false" outlineLevel="0" collapsed="false">
      <c r="B54" s="9"/>
      <c r="C54" s="14"/>
      <c r="D54" s="15" t="s">
        <v>24</v>
      </c>
      <c r="E54" s="16" t="n">
        <v>85035</v>
      </c>
      <c r="F54" s="16" t="n">
        <v>47419</v>
      </c>
      <c r="G54" s="16" t="n">
        <v>26271</v>
      </c>
      <c r="H54" s="16" t="n">
        <v>17575</v>
      </c>
      <c r="I54" s="16" t="n">
        <v>14103</v>
      </c>
      <c r="J54" s="16" t="n">
        <v>14795</v>
      </c>
      <c r="K54" s="7"/>
      <c r="L54" s="7"/>
      <c r="M54" s="16" t="n">
        <v>810247</v>
      </c>
      <c r="N54" s="16" t="n">
        <v>426888</v>
      </c>
      <c r="O54" s="16" t="n">
        <v>237935</v>
      </c>
      <c r="P54" s="16" t="n">
        <v>213190</v>
      </c>
      <c r="Q54" s="16" t="n">
        <v>112040</v>
      </c>
      <c r="R54" s="16" t="n">
        <v>63773</v>
      </c>
      <c r="S54" s="7"/>
      <c r="T54" s="7"/>
      <c r="U54" s="16" t="n">
        <v>2644821</v>
      </c>
      <c r="V54" s="16" t="n">
        <v>1496174</v>
      </c>
      <c r="W54" s="16" t="n">
        <v>706191</v>
      </c>
      <c r="X54" s="16" t="n">
        <v>439995</v>
      </c>
      <c r="Y54" s="16" t="n">
        <v>402863</v>
      </c>
      <c r="Z54" s="16" t="n">
        <v>236091</v>
      </c>
      <c r="AA54" s="7"/>
      <c r="AB54" s="7"/>
      <c r="AC54" s="16" t="n">
        <v>6547199</v>
      </c>
      <c r="AD54" s="16" t="n">
        <v>3961967</v>
      </c>
      <c r="AE54" s="16" t="n">
        <v>1859203</v>
      </c>
      <c r="AF54" s="16" t="n">
        <v>1101393</v>
      </c>
      <c r="AG54" s="16" t="n">
        <v>1203532</v>
      </c>
      <c r="AH54" s="16" t="n">
        <v>793780</v>
      </c>
      <c r="AI54" s="8"/>
    </row>
    <row r="55" customFormat="false" ht="16.4" hidden="false" customHeight="false" outlineLevel="0" collapsed="false">
      <c r="B55" s="9"/>
      <c r="C55" s="14"/>
      <c r="D55" s="15" t="s">
        <v>25</v>
      </c>
      <c r="E55" s="16" t="n">
        <v>86438</v>
      </c>
      <c r="F55" s="16" t="n">
        <v>50997</v>
      </c>
      <c r="G55" s="16" t="n">
        <v>26864</v>
      </c>
      <c r="H55" s="16" t="n">
        <v>18364</v>
      </c>
      <c r="I55" s="16" t="n">
        <v>16441</v>
      </c>
      <c r="J55" s="16" t="n">
        <v>13552</v>
      </c>
      <c r="K55" s="7"/>
      <c r="L55" s="7"/>
      <c r="M55" s="16" t="n">
        <v>800128</v>
      </c>
      <c r="N55" s="16" t="n">
        <v>459671</v>
      </c>
      <c r="O55" s="16" t="n">
        <v>243536</v>
      </c>
      <c r="P55" s="16" t="n">
        <v>183127</v>
      </c>
      <c r="Q55" s="16" t="n">
        <v>115028</v>
      </c>
      <c r="R55" s="16" t="n">
        <v>64720</v>
      </c>
      <c r="S55" s="7"/>
      <c r="T55" s="7"/>
      <c r="U55" s="16" t="n">
        <v>2729052</v>
      </c>
      <c r="V55" s="16" t="n">
        <v>1486017</v>
      </c>
      <c r="W55" s="16" t="n">
        <v>701868</v>
      </c>
      <c r="X55" s="16" t="n">
        <v>439481</v>
      </c>
      <c r="Y55" s="16" t="n">
        <v>425872</v>
      </c>
      <c r="Z55" s="16" t="n">
        <v>241401</v>
      </c>
      <c r="AA55" s="7"/>
      <c r="AB55" s="7"/>
      <c r="AC55" s="16" t="n">
        <v>6847291</v>
      </c>
      <c r="AD55" s="16" t="n">
        <v>3620327</v>
      </c>
      <c r="AE55" s="16" t="n">
        <v>2076130</v>
      </c>
      <c r="AF55" s="16" t="n">
        <v>1222761</v>
      </c>
      <c r="AG55" s="16" t="n">
        <v>1147288</v>
      </c>
      <c r="AH55" s="16" t="n">
        <v>827609</v>
      </c>
      <c r="AI55" s="8"/>
    </row>
    <row r="56" customFormat="false" ht="16.4" hidden="false" customHeight="false" outlineLevel="0" collapsed="false">
      <c r="B56" s="9"/>
      <c r="C56" s="14"/>
      <c r="D56" s="15" t="s">
        <v>26</v>
      </c>
      <c r="E56" s="16" t="n">
        <v>88991</v>
      </c>
      <c r="F56" s="16" t="n">
        <v>48721</v>
      </c>
      <c r="G56" s="16" t="n">
        <v>24958</v>
      </c>
      <c r="H56" s="16" t="n">
        <v>18929</v>
      </c>
      <c r="I56" s="16" t="n">
        <v>15906</v>
      </c>
      <c r="J56" s="16" t="n">
        <v>14632</v>
      </c>
      <c r="K56" s="7"/>
      <c r="L56" s="7"/>
      <c r="M56" s="16" t="n">
        <v>813733</v>
      </c>
      <c r="N56" s="16" t="n">
        <v>538472</v>
      </c>
      <c r="O56" s="16" t="n">
        <v>244864</v>
      </c>
      <c r="P56" s="16" t="n">
        <v>168685</v>
      </c>
      <c r="Q56" s="16" t="n">
        <v>113454</v>
      </c>
      <c r="R56" s="16" t="n">
        <v>66622</v>
      </c>
      <c r="S56" s="7"/>
      <c r="T56" s="7"/>
      <c r="U56" s="16" t="n">
        <v>2542335</v>
      </c>
      <c r="V56" s="16" t="n">
        <v>1409476</v>
      </c>
      <c r="W56" s="16" t="n">
        <v>766677</v>
      </c>
      <c r="X56" s="16" t="n">
        <v>434988</v>
      </c>
      <c r="Y56" s="16" t="n">
        <v>422076</v>
      </c>
      <c r="Z56" s="16" t="n">
        <v>241774</v>
      </c>
      <c r="AA56" s="7"/>
      <c r="AB56" s="7"/>
      <c r="AC56" s="16" t="n">
        <v>6695346</v>
      </c>
      <c r="AD56" s="16" t="n">
        <v>3966524</v>
      </c>
      <c r="AE56" s="16" t="n">
        <v>1913156</v>
      </c>
      <c r="AF56" s="16" t="n">
        <v>1196018</v>
      </c>
      <c r="AG56" s="16" t="n">
        <v>1163164</v>
      </c>
      <c r="AH56" s="16" t="n">
        <v>840776</v>
      </c>
      <c r="AI56" s="8"/>
    </row>
    <row r="57" customFormat="false" ht="16.4" hidden="false" customHeight="false" outlineLevel="0" collapsed="false">
      <c r="B57" s="9"/>
      <c r="C57" s="14"/>
      <c r="D57" s="15" t="s">
        <v>27</v>
      </c>
      <c r="E57" s="16" t="n">
        <v>85475</v>
      </c>
      <c r="F57" s="16" t="n">
        <v>46845</v>
      </c>
      <c r="G57" s="16" t="n">
        <v>27081</v>
      </c>
      <c r="H57" s="16" t="n">
        <v>18515</v>
      </c>
      <c r="I57" s="16" t="n">
        <v>12954</v>
      </c>
      <c r="J57" s="16" t="n">
        <v>18492</v>
      </c>
      <c r="K57" s="7"/>
      <c r="L57" s="7"/>
      <c r="M57" s="16" t="n">
        <v>810597</v>
      </c>
      <c r="N57" s="16" t="n">
        <v>429411</v>
      </c>
      <c r="O57" s="16" t="n">
        <v>251090</v>
      </c>
      <c r="P57" s="16" t="n">
        <v>228049</v>
      </c>
      <c r="Q57" s="16" t="n">
        <v>114536</v>
      </c>
      <c r="R57" s="16" t="n">
        <v>66375</v>
      </c>
      <c r="S57" s="7"/>
      <c r="T57" s="7"/>
      <c r="U57" s="16" t="n">
        <v>2727311</v>
      </c>
      <c r="V57" s="16" t="n">
        <v>1500569</v>
      </c>
      <c r="W57" s="16" t="n">
        <v>796391</v>
      </c>
      <c r="X57" s="16" t="n">
        <v>429186</v>
      </c>
      <c r="Y57" s="16" t="n">
        <v>432641</v>
      </c>
      <c r="Z57" s="16" t="n">
        <v>237342</v>
      </c>
      <c r="AA57" s="7"/>
      <c r="AB57" s="7"/>
      <c r="AC57" s="16" t="n">
        <v>6697302</v>
      </c>
      <c r="AD57" s="16" t="n">
        <v>3545254</v>
      </c>
      <c r="AE57" s="16" t="n">
        <v>2085618</v>
      </c>
      <c r="AF57" s="16" t="n">
        <v>1213259</v>
      </c>
      <c r="AG57" s="16" t="n">
        <v>1142074</v>
      </c>
      <c r="AH57" s="16" t="n">
        <v>819205</v>
      </c>
      <c r="AI57" s="8"/>
    </row>
    <row r="58" customFormat="false" ht="16.4" hidden="false" customHeight="false" outlineLevel="0" collapsed="false">
      <c r="B58" s="9"/>
      <c r="C58" s="14"/>
      <c r="D58" s="15" t="s">
        <v>28</v>
      </c>
      <c r="E58" s="16" t="n">
        <v>86058</v>
      </c>
      <c r="F58" s="16" t="n">
        <v>45688</v>
      </c>
      <c r="G58" s="16" t="n">
        <v>28156</v>
      </c>
      <c r="H58" s="16" t="n">
        <v>13363</v>
      </c>
      <c r="I58" s="16" t="n">
        <v>13548</v>
      </c>
      <c r="J58" s="16" t="n">
        <v>18995</v>
      </c>
      <c r="K58" s="7"/>
      <c r="L58" s="7"/>
      <c r="M58" s="16" t="n">
        <v>788357</v>
      </c>
      <c r="N58" s="16" t="n">
        <v>450397</v>
      </c>
      <c r="O58" s="16" t="n">
        <v>246570</v>
      </c>
      <c r="P58" s="16" t="n">
        <v>230762</v>
      </c>
      <c r="Q58" s="16" t="n">
        <v>108560</v>
      </c>
      <c r="R58" s="16" t="n">
        <v>63657</v>
      </c>
      <c r="S58" s="7"/>
      <c r="T58" s="7"/>
      <c r="U58" s="16" t="n">
        <v>2749501</v>
      </c>
      <c r="V58" s="16" t="n">
        <v>1470199</v>
      </c>
      <c r="W58" s="16" t="n">
        <v>783308</v>
      </c>
      <c r="X58" s="16" t="n">
        <v>468871</v>
      </c>
      <c r="Y58" s="16" t="n">
        <v>459300</v>
      </c>
      <c r="Z58" s="16" t="n">
        <v>235385</v>
      </c>
      <c r="AA58" s="7"/>
      <c r="AB58" s="7"/>
      <c r="AC58" s="16" t="n">
        <v>6338643</v>
      </c>
      <c r="AD58" s="16" t="n">
        <v>3961123</v>
      </c>
      <c r="AE58" s="16" t="n">
        <v>1878060</v>
      </c>
      <c r="AF58" s="16" t="n">
        <v>1268051</v>
      </c>
      <c r="AG58" s="16" t="n">
        <v>1181716</v>
      </c>
      <c r="AH58" s="16" t="n">
        <v>785336</v>
      </c>
      <c r="AI58" s="8"/>
    </row>
    <row r="59" customFormat="false" ht="16.4" hidden="false" customHeight="false" outlineLevel="0" collapsed="false">
      <c r="B59" s="9"/>
      <c r="C59" s="14"/>
      <c r="D59" s="15" t="s">
        <v>29</v>
      </c>
      <c r="E59" s="16" t="n">
        <v>87243</v>
      </c>
      <c r="F59" s="16" t="n">
        <v>48376</v>
      </c>
      <c r="G59" s="16" t="n">
        <v>28565</v>
      </c>
      <c r="H59" s="16" t="n">
        <v>17968</v>
      </c>
      <c r="I59" s="16" t="n">
        <v>18060</v>
      </c>
      <c r="J59" s="16" t="n">
        <v>20010</v>
      </c>
      <c r="K59" s="7"/>
      <c r="L59" s="7"/>
      <c r="M59" s="16" t="n">
        <v>817204</v>
      </c>
      <c r="N59" s="16" t="n">
        <v>515692</v>
      </c>
      <c r="O59" s="16" t="n">
        <v>245217</v>
      </c>
      <c r="P59" s="16" t="n">
        <v>155541</v>
      </c>
      <c r="Q59" s="16" t="n">
        <v>114631</v>
      </c>
      <c r="R59" s="16" t="n">
        <v>66131</v>
      </c>
      <c r="S59" s="7"/>
      <c r="T59" s="7"/>
      <c r="U59" s="16" t="n">
        <v>2689776</v>
      </c>
      <c r="V59" s="16" t="n">
        <v>1418483</v>
      </c>
      <c r="W59" s="16" t="n">
        <v>820693</v>
      </c>
      <c r="X59" s="16" t="n">
        <v>441339</v>
      </c>
      <c r="Y59" s="16" t="n">
        <v>430446</v>
      </c>
      <c r="Z59" s="16" t="n">
        <v>222365</v>
      </c>
      <c r="AA59" s="7"/>
      <c r="AB59" s="7"/>
      <c r="AC59" s="16" t="n">
        <v>6517273</v>
      </c>
      <c r="AD59" s="16" t="n">
        <v>3696150</v>
      </c>
      <c r="AE59" s="16" t="n">
        <v>2015772</v>
      </c>
      <c r="AF59" s="16" t="n">
        <v>1252636</v>
      </c>
      <c r="AG59" s="16" t="n">
        <v>1113579</v>
      </c>
      <c r="AH59" s="16" t="n">
        <v>830359</v>
      </c>
      <c r="AI59" s="8"/>
    </row>
    <row r="60" customFormat="false" ht="16.4" hidden="false" customHeight="false" outlineLevel="0" collapsed="false">
      <c r="B60" s="9"/>
      <c r="C60" s="14"/>
      <c r="D60" s="15" t="s">
        <v>30</v>
      </c>
      <c r="E60" s="16" t="n">
        <v>85989</v>
      </c>
      <c r="F60" s="16" t="n">
        <v>47653</v>
      </c>
      <c r="G60" s="16" t="n">
        <v>29606</v>
      </c>
      <c r="H60" s="16" t="n">
        <v>17922</v>
      </c>
      <c r="I60" s="16" t="n">
        <v>17944</v>
      </c>
      <c r="J60" s="16" t="n">
        <v>20294</v>
      </c>
      <c r="K60" s="7"/>
      <c r="L60" s="7"/>
      <c r="M60" s="16" t="n">
        <v>828568</v>
      </c>
      <c r="N60" s="16" t="n">
        <v>433334</v>
      </c>
      <c r="O60" s="16" t="n">
        <v>239987</v>
      </c>
      <c r="P60" s="16" t="n">
        <v>204642</v>
      </c>
      <c r="Q60" s="16" t="n">
        <v>112324</v>
      </c>
      <c r="R60" s="16" t="n">
        <v>69458</v>
      </c>
      <c r="S60" s="7"/>
      <c r="T60" s="7"/>
      <c r="U60" s="16" t="n">
        <v>2664827</v>
      </c>
      <c r="V60" s="16" t="n">
        <v>1485111</v>
      </c>
      <c r="W60" s="16" t="n">
        <v>761682</v>
      </c>
      <c r="X60" s="16" t="n">
        <v>435960</v>
      </c>
      <c r="Y60" s="16" t="n">
        <v>394025</v>
      </c>
      <c r="Z60" s="16" t="n">
        <v>225684</v>
      </c>
      <c r="AA60" s="7"/>
      <c r="AB60" s="7"/>
      <c r="AC60" s="16" t="n">
        <v>6358582</v>
      </c>
      <c r="AD60" s="16" t="n">
        <v>3648822</v>
      </c>
      <c r="AE60" s="16" t="n">
        <v>2089445</v>
      </c>
      <c r="AF60" s="16" t="n">
        <v>1207512</v>
      </c>
      <c r="AG60" s="16" t="n">
        <v>1212486</v>
      </c>
      <c r="AH60" s="16" t="n">
        <v>819572</v>
      </c>
      <c r="AI60" s="8"/>
    </row>
    <row r="61" customFormat="false" ht="16.4" hidden="false" customHeight="false" outlineLevel="0" collapsed="false">
      <c r="B61" s="9"/>
      <c r="C61" s="14"/>
      <c r="D61" s="15" t="s">
        <v>31</v>
      </c>
      <c r="E61" s="16" t="n">
        <v>88856</v>
      </c>
      <c r="F61" s="16" t="n">
        <v>49481</v>
      </c>
      <c r="G61" s="16" t="n">
        <v>26265</v>
      </c>
      <c r="H61" s="16" t="n">
        <v>18165</v>
      </c>
      <c r="I61" s="16" t="n">
        <v>15159</v>
      </c>
      <c r="J61" s="16" t="n">
        <v>19012</v>
      </c>
      <c r="K61" s="7"/>
      <c r="L61" s="7"/>
      <c r="M61" s="16" t="n">
        <v>823028</v>
      </c>
      <c r="N61" s="16" t="n">
        <v>478598</v>
      </c>
      <c r="O61" s="16" t="n">
        <v>273389</v>
      </c>
      <c r="P61" s="16" t="n">
        <v>218517</v>
      </c>
      <c r="Q61" s="16" t="n">
        <v>107625</v>
      </c>
      <c r="R61" s="16" t="n">
        <v>71012</v>
      </c>
      <c r="S61" s="7"/>
      <c r="T61" s="7"/>
      <c r="U61" s="16" t="n">
        <v>2695516</v>
      </c>
      <c r="V61" s="16" t="n">
        <v>1474129</v>
      </c>
      <c r="W61" s="16" t="n">
        <v>707835</v>
      </c>
      <c r="X61" s="16" t="n">
        <v>438680</v>
      </c>
      <c r="Y61" s="16" t="n">
        <v>426563</v>
      </c>
      <c r="Z61" s="16" t="n">
        <v>226703</v>
      </c>
      <c r="AA61" s="7"/>
      <c r="AB61" s="7"/>
      <c r="AC61" s="16" t="n">
        <v>6823599</v>
      </c>
      <c r="AD61" s="16" t="n">
        <v>3855430</v>
      </c>
      <c r="AE61" s="16" t="n">
        <v>2105683</v>
      </c>
      <c r="AF61" s="16" t="n">
        <v>1221170</v>
      </c>
      <c r="AG61" s="16" t="n">
        <v>1179960</v>
      </c>
      <c r="AH61" s="16" t="n">
        <v>825565</v>
      </c>
      <c r="AI61" s="8"/>
    </row>
    <row r="62" customFormat="false" ht="16.4" hidden="false" customHeight="false" outlineLevel="0" collapsed="false">
      <c r="B62" s="9"/>
      <c r="C62" s="14"/>
      <c r="D62" s="15" t="s">
        <v>32</v>
      </c>
      <c r="E62" s="16" t="n">
        <v>86821</v>
      </c>
      <c r="F62" s="16" t="n">
        <v>48958</v>
      </c>
      <c r="G62" s="16" t="n">
        <v>24817</v>
      </c>
      <c r="H62" s="16" t="n">
        <v>17935</v>
      </c>
      <c r="I62" s="16" t="n">
        <v>14120</v>
      </c>
      <c r="J62" s="16" t="n">
        <v>15648</v>
      </c>
      <c r="K62" s="7"/>
      <c r="L62" s="7"/>
      <c r="M62" s="16" t="n">
        <v>818614</v>
      </c>
      <c r="N62" s="16" t="n">
        <v>520749</v>
      </c>
      <c r="O62" s="16" t="n">
        <v>275855</v>
      </c>
      <c r="P62" s="16" t="n">
        <v>229900</v>
      </c>
      <c r="Q62" s="16" t="n">
        <v>109126</v>
      </c>
      <c r="R62" s="16" t="n">
        <v>65338</v>
      </c>
      <c r="S62" s="7"/>
      <c r="T62" s="7"/>
      <c r="U62" s="16" t="n">
        <v>2668624</v>
      </c>
      <c r="V62" s="16" t="n">
        <v>1492037</v>
      </c>
      <c r="W62" s="16" t="n">
        <v>765096</v>
      </c>
      <c r="X62" s="16" t="n">
        <v>434904</v>
      </c>
      <c r="Y62" s="16" t="n">
        <v>471553</v>
      </c>
      <c r="Z62" s="16" t="n">
        <v>247997</v>
      </c>
      <c r="AA62" s="7"/>
      <c r="AB62" s="7"/>
      <c r="AC62" s="16" t="n">
        <v>6436328</v>
      </c>
      <c r="AD62" s="16" t="n">
        <v>3614313</v>
      </c>
      <c r="AE62" s="16" t="n">
        <v>1946915</v>
      </c>
      <c r="AF62" s="16" t="n">
        <v>1250535</v>
      </c>
      <c r="AG62" s="16" t="n">
        <v>1189707</v>
      </c>
      <c r="AH62" s="16" t="n">
        <v>819867</v>
      </c>
      <c r="AI62" s="8"/>
    </row>
    <row r="63" customFormat="false" ht="16.4" hidden="false" customHeight="false" outlineLevel="0" collapsed="false">
      <c r="B63" s="9"/>
      <c r="C63" s="14"/>
      <c r="D63" s="15" t="s">
        <v>33</v>
      </c>
      <c r="E63" s="16" t="n">
        <v>86302</v>
      </c>
      <c r="F63" s="16" t="n">
        <v>48703</v>
      </c>
      <c r="G63" s="16" t="n">
        <v>25157</v>
      </c>
      <c r="H63" s="16" t="n">
        <v>17885</v>
      </c>
      <c r="I63" s="16" t="n">
        <v>15486</v>
      </c>
      <c r="J63" s="16" t="n">
        <v>15007</v>
      </c>
      <c r="K63" s="7"/>
      <c r="L63" s="7"/>
      <c r="M63" s="16" t="n">
        <v>825250</v>
      </c>
      <c r="N63" s="16" t="n">
        <v>426562</v>
      </c>
      <c r="O63" s="16" t="n">
        <v>371414</v>
      </c>
      <c r="P63" s="16" t="n">
        <v>228105</v>
      </c>
      <c r="Q63" s="16" t="n">
        <v>112441</v>
      </c>
      <c r="R63" s="16" t="n">
        <v>64126</v>
      </c>
      <c r="S63" s="7"/>
      <c r="T63" s="7"/>
      <c r="U63" s="16" t="n">
        <v>2940319</v>
      </c>
      <c r="V63" s="16" t="n">
        <v>1492690</v>
      </c>
      <c r="W63" s="16" t="n">
        <v>705220</v>
      </c>
      <c r="X63" s="16" t="n">
        <v>450805</v>
      </c>
      <c r="Y63" s="16" t="n">
        <v>432025</v>
      </c>
      <c r="Z63" s="16" t="n">
        <v>233855</v>
      </c>
      <c r="AA63" s="7"/>
      <c r="AB63" s="7"/>
      <c r="AC63" s="16" t="n">
        <v>6409118</v>
      </c>
      <c r="AD63" s="16" t="n">
        <v>3916347</v>
      </c>
      <c r="AE63" s="16" t="n">
        <v>1961130</v>
      </c>
      <c r="AF63" s="16" t="n">
        <v>1247540</v>
      </c>
      <c r="AG63" s="16" t="n">
        <v>1202074</v>
      </c>
      <c r="AH63" s="16" t="n">
        <v>830790</v>
      </c>
      <c r="AI63" s="8"/>
    </row>
    <row r="64" customFormat="false" ht="16.4" hidden="false" customHeight="false" outlineLevel="0" collapsed="false">
      <c r="B64" s="9"/>
      <c r="C64" s="14"/>
      <c r="D64" s="15" t="s">
        <v>34</v>
      </c>
      <c r="E64" s="16" t="n">
        <v>85680</v>
      </c>
      <c r="F64" s="16" t="n">
        <v>49070</v>
      </c>
      <c r="G64" s="16" t="n">
        <v>29984</v>
      </c>
      <c r="H64" s="16" t="n">
        <v>18064</v>
      </c>
      <c r="I64" s="16" t="n">
        <v>14969</v>
      </c>
      <c r="J64" s="16" t="n">
        <v>13620</v>
      </c>
      <c r="K64" s="7"/>
      <c r="L64" s="7"/>
      <c r="M64" s="16" t="n">
        <v>803497</v>
      </c>
      <c r="N64" s="16" t="n">
        <v>467922</v>
      </c>
      <c r="O64" s="16" t="n">
        <v>294177</v>
      </c>
      <c r="P64" s="16" t="n">
        <v>221958</v>
      </c>
      <c r="Q64" s="16" t="n">
        <v>110585</v>
      </c>
      <c r="R64" s="16" t="n">
        <v>67189</v>
      </c>
      <c r="S64" s="7"/>
      <c r="T64" s="7"/>
      <c r="U64" s="16" t="n">
        <v>2687714</v>
      </c>
      <c r="V64" s="16" t="n">
        <v>1481238</v>
      </c>
      <c r="W64" s="16" t="n">
        <v>708170</v>
      </c>
      <c r="X64" s="16" t="n">
        <v>438343</v>
      </c>
      <c r="Y64" s="16" t="n">
        <v>394018</v>
      </c>
      <c r="Z64" s="16" t="n">
        <v>227243</v>
      </c>
      <c r="AA64" s="7"/>
      <c r="AB64" s="7"/>
      <c r="AC64" s="16" t="n">
        <v>6413120</v>
      </c>
      <c r="AD64" s="16" t="n">
        <v>3863985</v>
      </c>
      <c r="AE64" s="16" t="n">
        <v>1951621</v>
      </c>
      <c r="AF64" s="16" t="n">
        <v>1221058</v>
      </c>
      <c r="AG64" s="16" t="n">
        <v>1201341</v>
      </c>
      <c r="AH64" s="16" t="n">
        <v>841865</v>
      </c>
      <c r="AI64" s="8"/>
    </row>
    <row r="65" customFormat="false" ht="16.4" hidden="false" customHeight="false" outlineLevel="0" collapsed="false">
      <c r="B65" s="9"/>
      <c r="C65" s="14"/>
      <c r="D65" s="15" t="s">
        <v>35</v>
      </c>
      <c r="E65" s="16" t="n">
        <v>86378</v>
      </c>
      <c r="F65" s="16" t="n">
        <v>48122</v>
      </c>
      <c r="G65" s="16" t="n">
        <v>26832</v>
      </c>
      <c r="H65" s="16" t="n">
        <v>16515</v>
      </c>
      <c r="I65" s="16" t="n">
        <v>17942</v>
      </c>
      <c r="J65" s="16" t="n">
        <v>15589</v>
      </c>
      <c r="K65" s="7"/>
      <c r="L65" s="7"/>
      <c r="M65" s="16" t="n">
        <v>828799</v>
      </c>
      <c r="N65" s="16" t="n">
        <v>462408</v>
      </c>
      <c r="O65" s="16" t="n">
        <v>302943</v>
      </c>
      <c r="P65" s="16" t="n">
        <v>148536</v>
      </c>
      <c r="Q65" s="16" t="n">
        <v>115460</v>
      </c>
      <c r="R65" s="16" t="n">
        <v>67355</v>
      </c>
      <c r="S65" s="7"/>
      <c r="T65" s="7"/>
      <c r="U65" s="16" t="n">
        <v>2665864</v>
      </c>
      <c r="V65" s="16" t="n">
        <v>1487857</v>
      </c>
      <c r="W65" s="16" t="n">
        <v>802819</v>
      </c>
      <c r="X65" s="16" t="n">
        <v>432177</v>
      </c>
      <c r="Y65" s="16" t="n">
        <v>417919</v>
      </c>
      <c r="Z65" s="16" t="n">
        <v>235834</v>
      </c>
      <c r="AA65" s="7"/>
      <c r="AB65" s="7"/>
      <c r="AC65" s="16" t="n">
        <v>6327373</v>
      </c>
      <c r="AD65" s="16" t="n">
        <v>3889916</v>
      </c>
      <c r="AE65" s="16" t="n">
        <v>1970777</v>
      </c>
      <c r="AF65" s="16" t="n">
        <v>1253180</v>
      </c>
      <c r="AG65" s="16" t="n">
        <v>1162610</v>
      </c>
      <c r="AH65" s="16" t="n">
        <v>840118</v>
      </c>
      <c r="AI65" s="8"/>
    </row>
    <row r="66" customFormat="false" ht="16.4" hidden="false" customHeight="false" outlineLevel="0" collapsed="false">
      <c r="B66" s="9"/>
      <c r="C66" s="14"/>
      <c r="D66" s="15" t="s">
        <v>36</v>
      </c>
      <c r="E66" s="16" t="n">
        <v>86131</v>
      </c>
      <c r="F66" s="16" t="n">
        <v>48327</v>
      </c>
      <c r="G66" s="16" t="n">
        <v>28092</v>
      </c>
      <c r="H66" s="16" t="n">
        <v>15095</v>
      </c>
      <c r="I66" s="16" t="n">
        <v>13174</v>
      </c>
      <c r="J66" s="16" t="n">
        <v>14563</v>
      </c>
      <c r="K66" s="7"/>
      <c r="L66" s="7"/>
      <c r="M66" s="16" t="n">
        <v>821454</v>
      </c>
      <c r="N66" s="16" t="n">
        <v>432557</v>
      </c>
      <c r="O66" s="16" t="n">
        <v>290533</v>
      </c>
      <c r="P66" s="16" t="n">
        <v>151989</v>
      </c>
      <c r="Q66" s="16" t="n">
        <v>111065</v>
      </c>
      <c r="R66" s="16" t="n">
        <v>71475</v>
      </c>
      <c r="S66" s="7"/>
      <c r="T66" s="7"/>
      <c r="U66" s="16" t="n">
        <v>2680680</v>
      </c>
      <c r="V66" s="16" t="n">
        <v>1495176</v>
      </c>
      <c r="W66" s="16" t="n">
        <v>769468</v>
      </c>
      <c r="X66" s="16" t="n">
        <v>440916</v>
      </c>
      <c r="Y66" s="16" t="n">
        <v>426610</v>
      </c>
      <c r="Z66" s="16" t="n">
        <v>235624</v>
      </c>
      <c r="AA66" s="7"/>
      <c r="AB66" s="7"/>
      <c r="AC66" s="16" t="n">
        <v>6341159</v>
      </c>
      <c r="AD66" s="16" t="n">
        <v>3544924</v>
      </c>
      <c r="AE66" s="16" t="n">
        <v>1949729</v>
      </c>
      <c r="AF66" s="16" t="n">
        <v>1213833</v>
      </c>
      <c r="AG66" s="16" t="n">
        <v>1192666</v>
      </c>
      <c r="AH66" s="16" t="n">
        <v>824477</v>
      </c>
      <c r="AI66" s="8"/>
    </row>
    <row r="67" customFormat="false" ht="16.4" hidden="false" customHeight="false" outlineLevel="0" collapsed="false">
      <c r="B67" s="9"/>
      <c r="C67" s="14"/>
      <c r="D67" s="15" t="s">
        <v>37</v>
      </c>
      <c r="E67" s="16" t="n">
        <v>86560</v>
      </c>
      <c r="F67" s="16" t="n">
        <v>49688</v>
      </c>
      <c r="G67" s="16" t="n">
        <v>28531</v>
      </c>
      <c r="H67" s="16" t="n">
        <v>17960</v>
      </c>
      <c r="I67" s="16" t="n">
        <v>13591</v>
      </c>
      <c r="J67" s="16" t="n">
        <v>13145</v>
      </c>
      <c r="K67" s="7"/>
      <c r="L67" s="7"/>
      <c r="M67" s="16" t="n">
        <v>822887</v>
      </c>
      <c r="N67" s="16" t="n">
        <v>443818</v>
      </c>
      <c r="O67" s="16" t="n">
        <v>318786</v>
      </c>
      <c r="P67" s="16" t="n">
        <v>156175</v>
      </c>
      <c r="Q67" s="16" t="n">
        <v>115241</v>
      </c>
      <c r="R67" s="16" t="n">
        <v>65537</v>
      </c>
      <c r="S67" s="7"/>
      <c r="T67" s="7"/>
      <c r="U67" s="16" t="n">
        <v>2676239</v>
      </c>
      <c r="V67" s="16" t="n">
        <v>1502907</v>
      </c>
      <c r="W67" s="16" t="n">
        <v>761293</v>
      </c>
      <c r="X67" s="16" t="n">
        <v>430978</v>
      </c>
      <c r="Y67" s="16" t="n">
        <v>413817</v>
      </c>
      <c r="Z67" s="16" t="n">
        <v>227506</v>
      </c>
      <c r="AA67" s="7"/>
      <c r="AB67" s="7"/>
      <c r="AC67" s="16" t="n">
        <v>6349353</v>
      </c>
      <c r="AD67" s="16" t="n">
        <v>3779459</v>
      </c>
      <c r="AE67" s="16" t="n">
        <v>1939355</v>
      </c>
      <c r="AF67" s="16" t="n">
        <v>1167326</v>
      </c>
      <c r="AG67" s="16" t="n">
        <v>1187337</v>
      </c>
      <c r="AH67" s="16" t="n">
        <v>800831</v>
      </c>
      <c r="AI67" s="8"/>
    </row>
    <row r="68" customFormat="false" ht="16.4" hidden="false" customHeight="false" outlineLevel="0" collapsed="false">
      <c r="B68" s="9"/>
      <c r="C68" s="14"/>
      <c r="D68" s="15" t="s">
        <v>38</v>
      </c>
      <c r="E68" s="16" t="n">
        <v>88156</v>
      </c>
      <c r="F68" s="16" t="n">
        <v>48960</v>
      </c>
      <c r="G68" s="16" t="n">
        <v>29578</v>
      </c>
      <c r="H68" s="16" t="n">
        <v>18322</v>
      </c>
      <c r="I68" s="16" t="n">
        <v>17965</v>
      </c>
      <c r="J68" s="16" t="n">
        <v>13102</v>
      </c>
      <c r="K68" s="7"/>
      <c r="L68" s="7"/>
      <c r="M68" s="16" t="n">
        <v>833440</v>
      </c>
      <c r="N68" s="16" t="n">
        <v>466229</v>
      </c>
      <c r="O68" s="16" t="n">
        <v>254562</v>
      </c>
      <c r="P68" s="16" t="n">
        <v>158128</v>
      </c>
      <c r="Q68" s="16" t="n">
        <v>109364</v>
      </c>
      <c r="R68" s="16" t="n">
        <v>65548</v>
      </c>
      <c r="S68" s="7"/>
      <c r="T68" s="7"/>
      <c r="U68" s="16" t="n">
        <v>2675834</v>
      </c>
      <c r="V68" s="16" t="n">
        <v>1493870</v>
      </c>
      <c r="W68" s="16" t="n">
        <v>783406</v>
      </c>
      <c r="X68" s="16" t="n">
        <v>422586</v>
      </c>
      <c r="Y68" s="16" t="n">
        <v>423350</v>
      </c>
      <c r="Z68" s="16" t="n">
        <v>252712</v>
      </c>
      <c r="AA68" s="7"/>
      <c r="AB68" s="7"/>
      <c r="AC68" s="16" t="n">
        <v>6331180</v>
      </c>
      <c r="AD68" s="16" t="n">
        <v>3675181</v>
      </c>
      <c r="AE68" s="16" t="n">
        <v>1959866</v>
      </c>
      <c r="AF68" s="16" t="n">
        <v>1194812</v>
      </c>
      <c r="AG68" s="16" t="n">
        <v>1226861</v>
      </c>
      <c r="AH68" s="16" t="n">
        <v>809442</v>
      </c>
      <c r="AI68" s="8"/>
    </row>
    <row r="69" customFormat="false" ht="16.4" hidden="false" customHeight="false" outlineLevel="0" collapsed="false">
      <c r="B69" s="9"/>
      <c r="C69" s="14"/>
      <c r="D69" s="15" t="s">
        <v>39</v>
      </c>
      <c r="E69" s="16" t="n">
        <v>89935</v>
      </c>
      <c r="F69" s="16" t="n">
        <v>48296</v>
      </c>
      <c r="G69" s="16" t="n">
        <v>28384</v>
      </c>
      <c r="H69" s="16" t="n">
        <v>18052</v>
      </c>
      <c r="I69" s="16" t="n">
        <v>16077</v>
      </c>
      <c r="J69" s="16" t="n">
        <v>17615</v>
      </c>
      <c r="K69" s="7"/>
      <c r="L69" s="7"/>
      <c r="M69" s="16" t="n">
        <v>840741</v>
      </c>
      <c r="N69" s="16" t="n">
        <v>430236</v>
      </c>
      <c r="O69" s="16" t="n">
        <v>244748</v>
      </c>
      <c r="P69" s="16" t="n">
        <v>152746</v>
      </c>
      <c r="Q69" s="16" t="n">
        <v>115247</v>
      </c>
      <c r="R69" s="16" t="n">
        <v>67134</v>
      </c>
      <c r="S69" s="7"/>
      <c r="T69" s="7"/>
      <c r="U69" s="16" t="n">
        <v>2671078</v>
      </c>
      <c r="V69" s="16" t="n">
        <v>1487402</v>
      </c>
      <c r="W69" s="16" t="n">
        <v>743620</v>
      </c>
      <c r="X69" s="16" t="n">
        <v>422470</v>
      </c>
      <c r="Y69" s="16" t="n">
        <v>421307</v>
      </c>
      <c r="Z69" s="16" t="n">
        <v>245864</v>
      </c>
      <c r="AA69" s="7"/>
      <c r="AB69" s="7"/>
      <c r="AC69" s="16" t="n">
        <v>6338276</v>
      </c>
      <c r="AD69" s="16" t="n">
        <v>3930992</v>
      </c>
      <c r="AE69" s="16" t="n">
        <v>2080829</v>
      </c>
      <c r="AF69" s="16" t="n">
        <v>1210721</v>
      </c>
      <c r="AG69" s="16" t="n">
        <v>1190869</v>
      </c>
      <c r="AH69" s="16" t="n">
        <v>826110</v>
      </c>
      <c r="AI69" s="8"/>
    </row>
    <row r="70" customFormat="false" ht="16.4" hidden="false" customHeight="false" outlineLevel="0" collapsed="false">
      <c r="B70" s="9"/>
      <c r="C70" s="14"/>
      <c r="D70" s="15" t="s">
        <v>40</v>
      </c>
      <c r="E70" s="16" t="n">
        <v>83246</v>
      </c>
      <c r="F70" s="16" t="n">
        <v>48322</v>
      </c>
      <c r="G70" s="16" t="n">
        <v>28446</v>
      </c>
      <c r="H70" s="16" t="n">
        <v>18248</v>
      </c>
      <c r="I70" s="16" t="n">
        <v>16644</v>
      </c>
      <c r="J70" s="16" t="n">
        <v>17911</v>
      </c>
      <c r="K70" s="7"/>
      <c r="L70" s="7"/>
      <c r="M70" s="16" t="n">
        <v>823920</v>
      </c>
      <c r="N70" s="16" t="n">
        <v>444510</v>
      </c>
      <c r="O70" s="16" t="n">
        <v>261873</v>
      </c>
      <c r="P70" s="16" t="n">
        <v>155581</v>
      </c>
      <c r="Q70" s="16" t="n">
        <v>114812</v>
      </c>
      <c r="R70" s="16" t="n">
        <v>67219</v>
      </c>
      <c r="S70" s="7"/>
      <c r="T70" s="7"/>
      <c r="U70" s="16" t="n">
        <v>2663714</v>
      </c>
      <c r="V70" s="16" t="n">
        <v>1497337</v>
      </c>
      <c r="W70" s="16" t="n">
        <v>783763</v>
      </c>
      <c r="X70" s="16" t="n">
        <v>456893</v>
      </c>
      <c r="Y70" s="16" t="n">
        <v>442263</v>
      </c>
      <c r="Z70" s="16" t="n">
        <v>228299</v>
      </c>
      <c r="AA70" s="7"/>
      <c r="AB70" s="7"/>
      <c r="AC70" s="16" t="n">
        <v>6331610</v>
      </c>
      <c r="AD70" s="16" t="n">
        <v>3966470</v>
      </c>
      <c r="AE70" s="16" t="n">
        <v>1867389</v>
      </c>
      <c r="AF70" s="16" t="n">
        <v>1162036</v>
      </c>
      <c r="AG70" s="16" t="n">
        <v>1170829</v>
      </c>
      <c r="AH70" s="16" t="n">
        <v>800733</v>
      </c>
      <c r="AI70" s="8"/>
    </row>
    <row r="71" customFormat="false" ht="14.25" hidden="false" customHeight="false" outlineLevel="0" collapsed="false">
      <c r="B71" s="9"/>
      <c r="C71" s="18"/>
      <c r="D71" s="19" t="s">
        <v>41</v>
      </c>
      <c r="E71" s="20" t="n">
        <f aca="false" t="array" ref="E71:E71">ROUND(AVERAGE(IF((ISNUMBER(E41:E70))*(E41:E70&lt;LARGE(E41:E70,2))*(E41:E70&gt;SMALL(E41:E70,2)),E41:E70)),0)</f>
        <v>86679</v>
      </c>
      <c r="F71" s="20" t="n">
        <f aca="false" t="array" ref="F71:F71">ROUND(AVERAGE(IF((ISNUMBER(F41:F70))*(F41:F70&lt;LARGE(F41:F70,2))*(F41:F70&gt;SMALL(F41:F70,2)),F41:F70)),0)</f>
        <v>48371</v>
      </c>
      <c r="G71" s="20" t="n">
        <f aca="false" t="array" ref="G71:G71">ROUND(AVERAGE(IF((ISNUMBER(G41:G70))*(G41:G70&lt;LARGE(G41:G70,2))*(G41:G70&gt;SMALL(G41:G70,2)),G41:G70)),0)</f>
        <v>27049</v>
      </c>
      <c r="H71" s="20" t="n">
        <f aca="false" t="array" ref="H71:H71">ROUND(AVERAGE(IF((ISNUMBER(H41:H70))*(H41:H70&lt;LARGE(H41:H70,2))*(H41:H70&gt;SMALL(H41:H70,2)),H41:H70)),0)</f>
        <v>18011</v>
      </c>
      <c r="I71" s="20" t="n">
        <f aca="false" t="array" ref="I71:I71">ROUND(AVERAGE(IF((ISNUMBER(I41:I70))*(I41:I70&lt;LARGE(I41:I70,2))*(I41:I70&gt;SMALL(I41:I70,2)),I41:I70)),0)</f>
        <v>15479</v>
      </c>
      <c r="J71" s="20" t="n">
        <f aca="false" t="array" ref="J71:J71">ROUND(AVERAGE(IF((ISNUMBER(J41:J70))*(J41:J70&lt;LARGE(J41:J70,2))*(J41:J70&gt;SMALL(J41:J70,2)),J41:J70)),0)</f>
        <v>16428</v>
      </c>
      <c r="K71" s="20"/>
      <c r="L71" s="20"/>
      <c r="M71" s="20" t="n">
        <f aca="false" t="array" ref="M71:M71">ROUND(AVERAGE(IF((ISNUMBER(M41:M70))*(M41:M70&lt;LARGE(M41:M70,2))*(M41:M70&gt;SMALL(M41:M70,2)),M41:M70)),0)</f>
        <v>813831</v>
      </c>
      <c r="N71" s="20" t="n">
        <f aca="false" t="array" ref="N71:N71">ROUND(AVERAGE(IF((ISNUMBER(N41:N70))*(N41:N70&lt;LARGE(N41:N70,2))*(N41:N70&gt;SMALL(N41:N70,2)),N41:N70)),0)</f>
        <v>455145</v>
      </c>
      <c r="O71" s="20" t="n">
        <f aca="false" t="array" ref="O71:O71">ROUND(AVERAGE(IF((ISNUMBER(O41:O70))*(O41:O70&lt;LARGE(O41:O70,2))*(O41:O70&gt;SMALL(O41:O70,2)),O41:O70)),0)</f>
        <v>258678</v>
      </c>
      <c r="P71" s="20" t="n">
        <f aca="false" t="array" ref="P71:P71">ROUND(AVERAGE(IF((ISNUMBER(P41:P70))*(P41:P70&lt;LARGE(P41:P70,2))*(P41:P70&gt;SMALL(P41:P70,2)),P41:P70)),0)</f>
        <v>198287</v>
      </c>
      <c r="Q71" s="20" t="n">
        <f aca="false" t="array" ref="Q71:Q71">ROUND(AVERAGE(IF((ISNUMBER(Q41:Q70))*(Q41:Q70&lt;LARGE(Q41:Q70,2))*(Q41:Q70&gt;SMALL(Q41:Q70,2)),Q41:Q70)),0)</f>
        <v>113079</v>
      </c>
      <c r="R71" s="20" t="n">
        <f aca="false" t="array" ref="R71:R71">ROUND(AVERAGE(IF((ISNUMBER(R41:R70))*(R41:R70&lt;LARGE(R41:R70,2))*(R41:R70&gt;SMALL(R41:R70,2)),R41:R70)),0)</f>
        <v>65766</v>
      </c>
      <c r="S71" s="20"/>
      <c r="T71" s="20"/>
      <c r="U71" s="20" t="n">
        <f aca="false" t="array" ref="U71:U71">ROUND(AVERAGE(IF((ISNUMBER(U41:U70))*(U41:U70&lt;LARGE(U41:U70,2))*(U41:U70&gt;SMALL(U41:U70,2)),U41:U70)),0)</f>
        <v>2664045</v>
      </c>
      <c r="V71" s="20" t="n">
        <f aca="false" t="array" ref="V71:V71">ROUND(AVERAGE(IF((ISNUMBER(V41:V70))*(V41:V70&lt;LARGE(V41:V70,2))*(V41:V70&gt;SMALL(V41:V70,2)),V41:V70)),0)</f>
        <v>1472470</v>
      </c>
      <c r="W71" s="20" t="n">
        <f aca="false" t="array" ref="W71:W71">ROUND(AVERAGE(IF((ISNUMBER(W41:W70))*(W41:W70&lt;LARGE(W41:W70,2))*(W41:W70&gt;SMALL(W41:W70,2)),W41:W70)),0)</f>
        <v>759439</v>
      </c>
      <c r="X71" s="20" t="n">
        <f aca="false" t="array" ref="X71:X71">ROUND(AVERAGE(IF((ISNUMBER(X41:X70))*(X41:X70&lt;LARGE(X41:X70,2))*(X41:X70&gt;SMALL(X41:X70,2)),X41:X70)),0)</f>
        <v>443092</v>
      </c>
      <c r="Y71" s="20" t="n">
        <f aca="false" t="array" ref="Y71:Y71">ROUND(AVERAGE(IF((ISNUMBER(Y41:Y70))*(Y41:Y70&lt;LARGE(Y41:Y70,2))*(Y41:Y70&gt;SMALL(Y41:Y70,2)),Y41:Y70)),0)</f>
        <v>417910</v>
      </c>
      <c r="Z71" s="20" t="n">
        <f aca="false" t="array" ref="Z71:Z71">ROUND(AVERAGE(IF((ISNUMBER(Z41:Z70))*(Z41:Z70&lt;LARGE(Z41:Z70,2))*(Z41:Z70&gt;SMALL(Z41:Z70,2)),Z41:Z70)),0)</f>
        <v>235586</v>
      </c>
      <c r="AA71" s="20"/>
      <c r="AB71" s="20"/>
      <c r="AC71" s="20" t="n">
        <f aca="false" t="array" ref="AC71:AC71">ROUND(AVERAGE(IF((ISNUMBER(AC41:AC70))*(AC41:AC70&lt;LARGE(AC41:AC70,2))*(AC41:AC70&gt;SMALL(AC41:AC70,2)),AC41:AC70)),0)</f>
        <v>6492563</v>
      </c>
      <c r="AD71" s="20" t="n">
        <f aca="false" t="array" ref="AD71:AD71">ROUND(AVERAGE(IF((ISNUMBER(AD41:AD70))*(AD41:AD70&lt;LARGE(AD41:AD70,2))*(AD41:AD70&gt;SMALL(AD41:AD70,2)),AD41:AD70)),0)</f>
        <v>3731810</v>
      </c>
      <c r="AE71" s="20" t="n">
        <f aca="false" t="array" ref="AE71:AE71">ROUND(AVERAGE(IF((ISNUMBER(AE41:AE70))*(AE41:AE70&lt;LARGE(AE41:AE70,2))*(AE41:AE70&gt;SMALL(AE41:AE70,2)),AE41:AE70)),0)</f>
        <v>1983448</v>
      </c>
      <c r="AF71" s="20" t="n">
        <f aca="false" t="array" ref="AF71:AF71">ROUND(AVERAGE(IF((ISNUMBER(AF41:AF70))*(AF41:AF70&lt;LARGE(AF41:AF70,2))*(AF41:AF70&gt;SMALL(AF41:AF70,2)),AF41:AF70)),0)</f>
        <v>1211021</v>
      </c>
      <c r="AG71" s="20" t="n">
        <f aca="false" t="array" ref="AG71:AG71">ROUND(AVERAGE(IF((ISNUMBER(AG41:AG70))*(AG41:AG70&lt;LARGE(AG41:AG70,2))*(AG41:AG70&gt;SMALL(AG41:AG70,2)),AG41:AG70)),0)</f>
        <v>1176292</v>
      </c>
      <c r="AH71" s="21" t="n">
        <f aca="false" t="array" ref="AH71:AH71">ROUND(AVERAGE(IF((ISNUMBER(AH41:AH70))*(AH41:AH70&lt;LARGE(AH41:AH70,2))*(AH41:AH70&gt;SMALL(AH41:AH70,2)),AH41:AH70)),0)</f>
        <v>820031</v>
      </c>
      <c r="AI71" s="8"/>
    </row>
    <row r="72" customFormat="false" ht="14.25" hidden="false" customHeight="false" outlineLevel="0" collapsed="false"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5"/>
    </row>
    <row r="73" customFormat="false" ht="14.25" hidden="false" customHeight="false" outlineLevel="0" collapsed="false">
      <c r="B73" s="26"/>
      <c r="C73" s="7"/>
      <c r="D73" s="1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customFormat="false" ht="33.85" hidden="false" customHeight="false" outlineLevel="0" collapsed="false">
      <c r="B74" s="1" t="s">
        <v>44</v>
      </c>
      <c r="C74" s="2"/>
      <c r="D74" s="2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4"/>
    </row>
    <row r="75" customFormat="false" ht="14.25" hidden="false" customHeight="false" outlineLevel="0" collapsed="false">
      <c r="B75" s="5"/>
      <c r="C75" s="6"/>
      <c r="D75" s="2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8"/>
    </row>
    <row r="76" customFormat="false" ht="14.25" hidden="false" customHeight="false" outlineLevel="0" collapsed="false">
      <c r="B76" s="9"/>
      <c r="C76" s="10" t="s">
        <v>1</v>
      </c>
      <c r="D76" s="11"/>
      <c r="E76" s="11" t="s">
        <v>2</v>
      </c>
      <c r="F76" s="11" t="s">
        <v>3</v>
      </c>
      <c r="G76" s="11" t="s">
        <v>4</v>
      </c>
      <c r="H76" s="11" t="s">
        <v>5</v>
      </c>
      <c r="I76" s="11" t="s">
        <v>6</v>
      </c>
      <c r="J76" s="11" t="s">
        <v>7</v>
      </c>
      <c r="K76" s="12" t="s">
        <v>8</v>
      </c>
      <c r="L76" s="12"/>
      <c r="M76" s="11" t="s">
        <v>2</v>
      </c>
      <c r="N76" s="11" t="s">
        <v>3</v>
      </c>
      <c r="O76" s="11" t="s">
        <v>4</v>
      </c>
      <c r="P76" s="11" t="s">
        <v>5</v>
      </c>
      <c r="Q76" s="11" t="s">
        <v>6</v>
      </c>
      <c r="R76" s="11" t="s">
        <v>7</v>
      </c>
      <c r="S76" s="12" t="s">
        <v>43</v>
      </c>
      <c r="T76" s="12"/>
      <c r="U76" s="11" t="s">
        <v>2</v>
      </c>
      <c r="V76" s="11" t="s">
        <v>3</v>
      </c>
      <c r="W76" s="11" t="s">
        <v>4</v>
      </c>
      <c r="X76" s="11" t="s">
        <v>5</v>
      </c>
      <c r="Y76" s="11" t="s">
        <v>6</v>
      </c>
      <c r="Z76" s="11" t="s">
        <v>7</v>
      </c>
      <c r="AA76" s="12" t="s">
        <v>45</v>
      </c>
      <c r="AB76" s="12"/>
      <c r="AC76" s="11" t="s">
        <v>2</v>
      </c>
      <c r="AD76" s="11" t="s">
        <v>3</v>
      </c>
      <c r="AE76" s="11" t="s">
        <v>4</v>
      </c>
      <c r="AF76" s="11" t="s">
        <v>5</v>
      </c>
      <c r="AG76" s="11" t="s">
        <v>6</v>
      </c>
      <c r="AH76" s="13" t="s">
        <v>7</v>
      </c>
      <c r="AI76" s="8"/>
    </row>
    <row r="77" customFormat="false" ht="16.4" hidden="false" customHeight="false" outlineLevel="0" collapsed="false">
      <c r="B77" s="9"/>
      <c r="C77" s="14"/>
      <c r="D77" s="15" t="s">
        <v>11</v>
      </c>
      <c r="E77" s="16" t="n">
        <v>106193</v>
      </c>
      <c r="F77" s="16" t="n">
        <v>55189</v>
      </c>
      <c r="G77" s="16" t="n">
        <v>30916</v>
      </c>
      <c r="H77" s="16" t="n">
        <v>21322</v>
      </c>
      <c r="I77" s="16" t="n">
        <v>23922</v>
      </c>
      <c r="J77" s="16" t="n">
        <v>15507</v>
      </c>
      <c r="K77" s="7"/>
      <c r="L77" s="7"/>
      <c r="M77" s="16" t="n">
        <v>1114418</v>
      </c>
      <c r="N77" s="16" t="n">
        <v>789388</v>
      </c>
      <c r="O77" s="16" t="n">
        <v>330727</v>
      </c>
      <c r="P77" s="16" t="n">
        <v>190054</v>
      </c>
      <c r="Q77" s="16" t="n">
        <v>228747</v>
      </c>
      <c r="R77" s="16" t="n">
        <v>260195</v>
      </c>
      <c r="S77" s="7"/>
      <c r="T77" s="7"/>
      <c r="U77" s="16" t="n">
        <v>4441784</v>
      </c>
      <c r="V77" s="16" t="n">
        <v>2498875</v>
      </c>
      <c r="W77" s="16" t="n">
        <v>1217393</v>
      </c>
      <c r="X77" s="16" t="n">
        <v>682269</v>
      </c>
      <c r="Y77" s="16" t="n">
        <v>707449</v>
      </c>
      <c r="Z77" s="16" t="n">
        <v>1146115</v>
      </c>
      <c r="AA77" s="7"/>
      <c r="AB77" s="7"/>
      <c r="AC77" s="16" t="n">
        <v>38485439</v>
      </c>
      <c r="AD77" s="16" t="n">
        <v>17526049</v>
      </c>
      <c r="AE77" s="16" t="n">
        <v>8151852</v>
      </c>
      <c r="AF77" s="16" t="n">
        <v>3959658</v>
      </c>
      <c r="AG77" s="16" t="n">
        <v>4626692</v>
      </c>
      <c r="AH77" s="16" t="n">
        <v>4591365</v>
      </c>
      <c r="AI77" s="8"/>
    </row>
    <row r="78" customFormat="false" ht="16.4" hidden="false" customHeight="false" outlineLevel="0" collapsed="false">
      <c r="B78" s="9"/>
      <c r="C78" s="14"/>
      <c r="D78" s="15" t="s">
        <v>12</v>
      </c>
      <c r="E78" s="16" t="n">
        <v>110185</v>
      </c>
      <c r="F78" s="16" t="n">
        <v>61231</v>
      </c>
      <c r="G78" s="16" t="n">
        <v>35264</v>
      </c>
      <c r="H78" s="16" t="n">
        <v>20557</v>
      </c>
      <c r="I78" s="16" t="n">
        <v>22645</v>
      </c>
      <c r="J78" s="16" t="n">
        <v>15560</v>
      </c>
      <c r="K78" s="7"/>
      <c r="L78" s="7"/>
      <c r="M78" s="16" t="n">
        <v>1084529</v>
      </c>
      <c r="N78" s="16" t="n">
        <v>654222</v>
      </c>
      <c r="O78" s="16" t="n">
        <v>330877</v>
      </c>
      <c r="P78" s="16" t="n">
        <v>213955</v>
      </c>
      <c r="Q78" s="16" t="n">
        <v>258495</v>
      </c>
      <c r="R78" s="16" t="n">
        <v>266606</v>
      </c>
      <c r="S78" s="7"/>
      <c r="T78" s="7"/>
      <c r="U78" s="16" t="n">
        <v>4909343</v>
      </c>
      <c r="V78" s="16" t="n">
        <v>2715597</v>
      </c>
      <c r="W78" s="16" t="n">
        <v>1279473</v>
      </c>
      <c r="X78" s="16" t="n">
        <v>655816</v>
      </c>
      <c r="Y78" s="16" t="n">
        <v>685611</v>
      </c>
      <c r="Z78" s="16" t="n">
        <v>1155150</v>
      </c>
      <c r="AA78" s="7"/>
      <c r="AB78" s="7"/>
      <c r="AC78" s="16" t="n">
        <v>37885728</v>
      </c>
      <c r="AD78" s="16" t="n">
        <v>17391077</v>
      </c>
      <c r="AE78" s="16" t="n">
        <v>8040425</v>
      </c>
      <c r="AF78" s="16" t="n">
        <v>3916010</v>
      </c>
      <c r="AG78" s="16" t="n">
        <v>4604187</v>
      </c>
      <c r="AH78" s="16" t="n">
        <v>4978619</v>
      </c>
      <c r="AI78" s="8"/>
    </row>
    <row r="79" customFormat="false" ht="16.4" hidden="false" customHeight="false" outlineLevel="0" collapsed="false">
      <c r="B79" s="9"/>
      <c r="C79" s="14"/>
      <c r="D79" s="15" t="s">
        <v>13</v>
      </c>
      <c r="E79" s="16" t="n">
        <v>111128</v>
      </c>
      <c r="F79" s="16" t="n">
        <v>53764</v>
      </c>
      <c r="G79" s="16" t="n">
        <v>30076</v>
      </c>
      <c r="H79" s="16" t="n">
        <v>14593</v>
      </c>
      <c r="I79" s="16" t="n">
        <v>21528</v>
      </c>
      <c r="J79" s="16" t="n">
        <v>15325</v>
      </c>
      <c r="K79" s="7"/>
      <c r="L79" s="7"/>
      <c r="M79" s="16" t="n">
        <v>1105494</v>
      </c>
      <c r="N79" s="16" t="n">
        <v>701961</v>
      </c>
      <c r="O79" s="16" t="n">
        <v>360964</v>
      </c>
      <c r="P79" s="16" t="n">
        <v>218744</v>
      </c>
      <c r="Q79" s="16" t="n">
        <v>261149</v>
      </c>
      <c r="R79" s="16" t="n">
        <v>262382</v>
      </c>
      <c r="S79" s="7"/>
      <c r="T79" s="7"/>
      <c r="U79" s="16" t="n">
        <v>4568830</v>
      </c>
      <c r="V79" s="16" t="n">
        <v>2641455</v>
      </c>
      <c r="W79" s="16" t="n">
        <v>1212932</v>
      </c>
      <c r="X79" s="16" t="n">
        <v>685962</v>
      </c>
      <c r="Y79" s="16" t="n">
        <v>709723</v>
      </c>
      <c r="Z79" s="16" t="n">
        <v>1129531</v>
      </c>
      <c r="AA79" s="7"/>
      <c r="AB79" s="7"/>
      <c r="AC79" s="16" t="n">
        <v>45997578</v>
      </c>
      <c r="AD79" s="16" t="n">
        <v>17401957</v>
      </c>
      <c r="AE79" s="16" t="n">
        <v>8011868</v>
      </c>
      <c r="AF79" s="16" t="n">
        <v>4143891</v>
      </c>
      <c r="AG79" s="16" t="n">
        <v>4642814</v>
      </c>
      <c r="AH79" s="16" t="n">
        <v>4499723</v>
      </c>
      <c r="AI79" s="8"/>
    </row>
    <row r="80" customFormat="false" ht="16.4" hidden="false" customHeight="false" outlineLevel="0" collapsed="false">
      <c r="B80" s="9"/>
      <c r="C80" s="14"/>
      <c r="D80" s="15" t="s">
        <v>14</v>
      </c>
      <c r="E80" s="16" t="n">
        <v>107777</v>
      </c>
      <c r="F80" s="16" t="n">
        <v>54722</v>
      </c>
      <c r="G80" s="16" t="n">
        <v>30540</v>
      </c>
      <c r="H80" s="16" t="n">
        <v>16511</v>
      </c>
      <c r="I80" s="16" t="n">
        <v>20193</v>
      </c>
      <c r="J80" s="16" t="n">
        <v>15845</v>
      </c>
      <c r="K80" s="7"/>
      <c r="L80" s="7"/>
      <c r="M80" s="16" t="n">
        <v>1132451</v>
      </c>
      <c r="N80" s="16" t="n">
        <v>730922</v>
      </c>
      <c r="O80" s="16" t="n">
        <v>333734</v>
      </c>
      <c r="P80" s="16" t="n">
        <v>216911</v>
      </c>
      <c r="Q80" s="16" t="n">
        <v>203041</v>
      </c>
      <c r="R80" s="16" t="n">
        <v>257478</v>
      </c>
      <c r="S80" s="7"/>
      <c r="T80" s="7"/>
      <c r="U80" s="16" t="n">
        <v>4460823</v>
      </c>
      <c r="V80" s="16" t="n">
        <v>2758691</v>
      </c>
      <c r="W80" s="16" t="n">
        <v>1318545</v>
      </c>
      <c r="X80" s="16" t="n">
        <v>655018</v>
      </c>
      <c r="Y80" s="16" t="n">
        <v>741470</v>
      </c>
      <c r="Z80" s="16" t="n">
        <v>1137642</v>
      </c>
      <c r="AA80" s="7"/>
      <c r="AB80" s="7"/>
      <c r="AC80" s="16" t="n">
        <v>44462180</v>
      </c>
      <c r="AD80" s="16" t="n">
        <v>17737330</v>
      </c>
      <c r="AE80" s="16" t="n">
        <v>8032903</v>
      </c>
      <c r="AF80" s="16" t="n">
        <v>3886896</v>
      </c>
      <c r="AG80" s="16" t="n">
        <v>4594312</v>
      </c>
      <c r="AH80" s="16" t="n">
        <v>4574891</v>
      </c>
      <c r="AI80" s="8"/>
    </row>
    <row r="81" customFormat="false" ht="16.4" hidden="false" customHeight="false" outlineLevel="0" collapsed="false">
      <c r="B81" s="9"/>
      <c r="C81" s="14"/>
      <c r="D81" s="15" t="s">
        <v>15</v>
      </c>
      <c r="E81" s="16" t="n">
        <v>103188</v>
      </c>
      <c r="F81" s="16" t="n">
        <v>53948</v>
      </c>
      <c r="G81" s="16" t="n">
        <v>39267</v>
      </c>
      <c r="H81" s="16" t="n">
        <v>26723</v>
      </c>
      <c r="I81" s="16" t="n">
        <v>22301</v>
      </c>
      <c r="J81" s="16" t="n">
        <v>14859</v>
      </c>
      <c r="K81" s="7"/>
      <c r="L81" s="7"/>
      <c r="M81" s="16" t="n">
        <v>1125991</v>
      </c>
      <c r="N81" s="16" t="n">
        <v>691429</v>
      </c>
      <c r="O81" s="16" t="n">
        <v>336006</v>
      </c>
      <c r="P81" s="16" t="n">
        <v>228461</v>
      </c>
      <c r="Q81" s="16" t="n">
        <v>256299</v>
      </c>
      <c r="R81" s="16" t="n">
        <v>258299</v>
      </c>
      <c r="S81" s="7"/>
      <c r="T81" s="7"/>
      <c r="U81" s="16" t="n">
        <v>4314303</v>
      </c>
      <c r="V81" s="16" t="n">
        <v>2508930</v>
      </c>
      <c r="W81" s="16" t="n">
        <v>1452512</v>
      </c>
      <c r="X81" s="16" t="n">
        <v>714038</v>
      </c>
      <c r="Y81" s="16" t="n">
        <v>713663</v>
      </c>
      <c r="Z81" s="16" t="n">
        <v>1205974</v>
      </c>
      <c r="AA81" s="7"/>
      <c r="AB81" s="7"/>
      <c r="AC81" s="16" t="n">
        <v>33129256</v>
      </c>
      <c r="AD81" s="16" t="n">
        <v>17645675</v>
      </c>
      <c r="AE81" s="16" t="n">
        <v>8188824</v>
      </c>
      <c r="AF81" s="16" t="n">
        <v>3909717</v>
      </c>
      <c r="AG81" s="16" t="n">
        <v>4696232</v>
      </c>
      <c r="AH81" s="16" t="n">
        <v>4497910</v>
      </c>
      <c r="AI81" s="8"/>
    </row>
    <row r="82" customFormat="false" ht="16.4" hidden="false" customHeight="false" outlineLevel="0" collapsed="false">
      <c r="B82" s="9"/>
      <c r="C82" s="14"/>
      <c r="D82" s="15" t="s">
        <v>16</v>
      </c>
      <c r="E82" s="16" t="n">
        <v>107036</v>
      </c>
      <c r="F82" s="16" t="n">
        <v>52652</v>
      </c>
      <c r="G82" s="16" t="n">
        <v>35168</v>
      </c>
      <c r="H82" s="16" t="n">
        <v>18710</v>
      </c>
      <c r="I82" s="16" t="n">
        <v>17996</v>
      </c>
      <c r="J82" s="16" t="n">
        <v>14997</v>
      </c>
      <c r="K82" s="7"/>
      <c r="L82" s="7"/>
      <c r="M82" s="16" t="n">
        <v>1324092</v>
      </c>
      <c r="N82" s="16" t="n">
        <v>672753</v>
      </c>
      <c r="O82" s="16" t="n">
        <v>342338</v>
      </c>
      <c r="P82" s="16" t="n">
        <v>214422</v>
      </c>
      <c r="Q82" s="16" t="n">
        <v>252260</v>
      </c>
      <c r="R82" s="16" t="n">
        <v>261745</v>
      </c>
      <c r="S82" s="7"/>
      <c r="T82" s="7"/>
      <c r="U82" s="16" t="n">
        <v>4450630</v>
      </c>
      <c r="V82" s="16" t="n">
        <v>2550233</v>
      </c>
      <c r="W82" s="16" t="n">
        <v>1331499</v>
      </c>
      <c r="X82" s="16" t="n">
        <v>707536</v>
      </c>
      <c r="Y82" s="16" t="n">
        <v>700279</v>
      </c>
      <c r="Z82" s="16" t="n">
        <v>1142963</v>
      </c>
      <c r="AA82" s="7"/>
      <c r="AB82" s="7"/>
      <c r="AC82" s="16" t="n">
        <v>43375778</v>
      </c>
      <c r="AD82" s="16" t="n">
        <v>17926120</v>
      </c>
      <c r="AE82" s="16" t="n">
        <v>8030816</v>
      </c>
      <c r="AF82" s="16" t="n">
        <v>4015823</v>
      </c>
      <c r="AG82" s="16" t="n">
        <v>4596220</v>
      </c>
      <c r="AH82" s="16" t="n">
        <v>4490275</v>
      </c>
      <c r="AI82" s="8"/>
    </row>
    <row r="83" customFormat="false" ht="16.4" hidden="false" customHeight="false" outlineLevel="0" collapsed="false">
      <c r="B83" s="9"/>
      <c r="C83" s="14"/>
      <c r="D83" s="15" t="s">
        <v>17</v>
      </c>
      <c r="E83" s="16" t="n">
        <v>104947</v>
      </c>
      <c r="F83" s="16" t="n">
        <v>55646</v>
      </c>
      <c r="G83" s="16" t="n">
        <v>32552</v>
      </c>
      <c r="H83" s="16" t="n">
        <v>21521</v>
      </c>
      <c r="I83" s="16" t="n">
        <v>22038</v>
      </c>
      <c r="J83" s="16" t="n">
        <v>14983</v>
      </c>
      <c r="K83" s="7"/>
      <c r="L83" s="7"/>
      <c r="M83" s="16" t="n">
        <v>1134241</v>
      </c>
      <c r="N83" s="16" t="n">
        <v>664938</v>
      </c>
      <c r="O83" s="16" t="n">
        <v>348000</v>
      </c>
      <c r="P83" s="16" t="n">
        <v>205565</v>
      </c>
      <c r="Q83" s="16" t="n">
        <v>239141</v>
      </c>
      <c r="R83" s="16" t="n">
        <v>274434</v>
      </c>
      <c r="S83" s="7"/>
      <c r="T83" s="7"/>
      <c r="U83" s="16" t="n">
        <v>4452059</v>
      </c>
      <c r="V83" s="16" t="n">
        <v>2510940</v>
      </c>
      <c r="W83" s="16" t="n">
        <v>1245859</v>
      </c>
      <c r="X83" s="16" t="n">
        <v>685131</v>
      </c>
      <c r="Y83" s="16" t="n">
        <v>676117</v>
      </c>
      <c r="Z83" s="16" t="n">
        <v>1147805</v>
      </c>
      <c r="AA83" s="7"/>
      <c r="AB83" s="7"/>
      <c r="AC83" s="16" t="n">
        <v>46079991</v>
      </c>
      <c r="AD83" s="16" t="n">
        <v>17327755</v>
      </c>
      <c r="AE83" s="16" t="n">
        <v>8157499</v>
      </c>
      <c r="AF83" s="16" t="n">
        <v>3905488</v>
      </c>
      <c r="AG83" s="16" t="n">
        <v>4564996</v>
      </c>
      <c r="AH83" s="16" t="n">
        <v>5265530</v>
      </c>
      <c r="AI83" s="8"/>
    </row>
    <row r="84" customFormat="false" ht="16.4" hidden="false" customHeight="false" outlineLevel="0" collapsed="false">
      <c r="B84" s="9"/>
      <c r="C84" s="14"/>
      <c r="D84" s="15" t="s">
        <v>18</v>
      </c>
      <c r="E84" s="16" t="n">
        <v>100358</v>
      </c>
      <c r="F84" s="16" t="n">
        <v>52573</v>
      </c>
      <c r="G84" s="16" t="n">
        <v>32744</v>
      </c>
      <c r="H84" s="16" t="n">
        <v>20240</v>
      </c>
      <c r="I84" s="16" t="n">
        <v>20470</v>
      </c>
      <c r="J84" s="16" t="n">
        <v>15334</v>
      </c>
      <c r="K84" s="7"/>
      <c r="L84" s="7"/>
      <c r="M84" s="16" t="n">
        <v>1132617</v>
      </c>
      <c r="N84" s="16" t="n">
        <v>693706</v>
      </c>
      <c r="O84" s="16" t="n">
        <v>346727</v>
      </c>
      <c r="P84" s="16" t="n">
        <v>213743</v>
      </c>
      <c r="Q84" s="16" t="n">
        <v>251797</v>
      </c>
      <c r="R84" s="16" t="n">
        <v>260125</v>
      </c>
      <c r="S84" s="7"/>
      <c r="T84" s="7"/>
      <c r="U84" s="16" t="n">
        <v>4596906</v>
      </c>
      <c r="V84" s="16" t="n">
        <v>2856130</v>
      </c>
      <c r="W84" s="16" t="n">
        <v>1404305</v>
      </c>
      <c r="X84" s="16" t="n">
        <v>712712</v>
      </c>
      <c r="Y84" s="16" t="n">
        <v>722748</v>
      </c>
      <c r="Z84" s="16" t="n">
        <v>1155109</v>
      </c>
      <c r="AA84" s="7"/>
      <c r="AB84" s="7"/>
      <c r="AC84" s="16" t="n">
        <v>45614960</v>
      </c>
      <c r="AD84" s="16" t="n">
        <v>17574041</v>
      </c>
      <c r="AE84" s="16" t="n">
        <v>8254403</v>
      </c>
      <c r="AF84" s="16" t="n">
        <v>4009644</v>
      </c>
      <c r="AG84" s="16" t="n">
        <v>4630408</v>
      </c>
      <c r="AH84" s="16" t="n">
        <v>4616157</v>
      </c>
      <c r="AI84" s="8"/>
    </row>
    <row r="85" customFormat="false" ht="16.4" hidden="false" customHeight="false" outlineLevel="0" collapsed="false">
      <c r="B85" s="9"/>
      <c r="C85" s="14"/>
      <c r="D85" s="15" t="s">
        <v>19</v>
      </c>
      <c r="E85" s="16" t="n">
        <v>104027</v>
      </c>
      <c r="F85" s="16" t="n">
        <v>57376</v>
      </c>
      <c r="G85" s="16" t="n">
        <v>30629</v>
      </c>
      <c r="H85" s="16" t="n">
        <v>21212</v>
      </c>
      <c r="I85" s="16" t="n">
        <v>21893</v>
      </c>
      <c r="J85" s="16" t="n">
        <v>15451</v>
      </c>
      <c r="K85" s="7"/>
      <c r="L85" s="7"/>
      <c r="M85" s="16" t="n">
        <v>1119906</v>
      </c>
      <c r="N85" s="16" t="n">
        <v>805526</v>
      </c>
      <c r="O85" s="16" t="n">
        <v>351104</v>
      </c>
      <c r="P85" s="16" t="n">
        <v>223539</v>
      </c>
      <c r="Q85" s="16" t="n">
        <v>253936</v>
      </c>
      <c r="R85" s="16" t="n">
        <v>257528</v>
      </c>
      <c r="S85" s="7"/>
      <c r="T85" s="7"/>
      <c r="U85" s="16" t="n">
        <v>4438855</v>
      </c>
      <c r="V85" s="16" t="n">
        <v>2666223</v>
      </c>
      <c r="W85" s="16" t="n">
        <v>1302656</v>
      </c>
      <c r="X85" s="16" t="n">
        <v>692672</v>
      </c>
      <c r="Y85" s="16" t="n">
        <v>707237</v>
      </c>
      <c r="Z85" s="16" t="n">
        <v>1138414</v>
      </c>
      <c r="AA85" s="7"/>
      <c r="AB85" s="7"/>
      <c r="AC85" s="16" t="n">
        <v>37449061</v>
      </c>
      <c r="AD85" s="16" t="n">
        <v>17357933</v>
      </c>
      <c r="AE85" s="16" t="n">
        <v>8090329</v>
      </c>
      <c r="AF85" s="16" t="n">
        <v>3994453</v>
      </c>
      <c r="AG85" s="16" t="n">
        <v>4603196</v>
      </c>
      <c r="AH85" s="16" t="n">
        <v>4674248</v>
      </c>
      <c r="AI85" s="8"/>
    </row>
    <row r="86" customFormat="false" ht="16.4" hidden="false" customHeight="false" outlineLevel="0" collapsed="false">
      <c r="B86" s="9"/>
      <c r="C86" s="14"/>
      <c r="D86" s="15" t="s">
        <v>20</v>
      </c>
      <c r="E86" s="16" t="n">
        <v>103279</v>
      </c>
      <c r="F86" s="16" t="n">
        <v>63180</v>
      </c>
      <c r="G86" s="16" t="n">
        <v>30296</v>
      </c>
      <c r="H86" s="16" t="n">
        <v>15092</v>
      </c>
      <c r="I86" s="16" t="n">
        <v>19305</v>
      </c>
      <c r="J86" s="16" t="n">
        <v>15980</v>
      </c>
      <c r="K86" s="7"/>
      <c r="L86" s="7"/>
      <c r="M86" s="16" t="n">
        <v>1115404</v>
      </c>
      <c r="N86" s="16" t="n">
        <v>706369</v>
      </c>
      <c r="O86" s="16" t="n">
        <v>357031</v>
      </c>
      <c r="P86" s="16" t="n">
        <v>214758</v>
      </c>
      <c r="Q86" s="16" t="n">
        <v>238213</v>
      </c>
      <c r="R86" s="16" t="n">
        <v>259545</v>
      </c>
      <c r="S86" s="7"/>
      <c r="T86" s="7"/>
      <c r="U86" s="16" t="n">
        <v>5020952</v>
      </c>
      <c r="V86" s="16" t="n">
        <v>2615379</v>
      </c>
      <c r="W86" s="16" t="n">
        <v>1241737</v>
      </c>
      <c r="X86" s="16" t="n">
        <v>725899</v>
      </c>
      <c r="Y86" s="16" t="n">
        <v>758887</v>
      </c>
      <c r="Z86" s="16" t="n">
        <v>1136967</v>
      </c>
      <c r="AA86" s="7"/>
      <c r="AB86" s="7"/>
      <c r="AC86" s="16" t="n">
        <v>38208243</v>
      </c>
      <c r="AD86" s="16" t="n">
        <v>17166633</v>
      </c>
      <c r="AE86" s="16" t="n">
        <v>8282497</v>
      </c>
      <c r="AF86" s="16" t="n">
        <v>4044189</v>
      </c>
      <c r="AG86" s="16" t="n">
        <v>4668918</v>
      </c>
      <c r="AH86" s="16" t="n">
        <v>4468243</v>
      </c>
      <c r="AI86" s="8"/>
    </row>
    <row r="87" customFormat="false" ht="16.4" hidden="false" customHeight="false" outlineLevel="0" collapsed="false">
      <c r="B87" s="9"/>
      <c r="C87" s="14"/>
      <c r="D87" s="15" t="s">
        <v>21</v>
      </c>
      <c r="E87" s="16" t="n">
        <v>103658</v>
      </c>
      <c r="F87" s="16" t="n">
        <v>54880</v>
      </c>
      <c r="G87" s="16" t="n">
        <v>27237</v>
      </c>
      <c r="H87" s="16" t="n">
        <v>18419</v>
      </c>
      <c r="I87" s="16" t="n">
        <v>19893</v>
      </c>
      <c r="J87" s="16" t="n">
        <v>17674</v>
      </c>
      <c r="K87" s="7"/>
      <c r="L87" s="7"/>
      <c r="M87" s="16" t="n">
        <v>1098220</v>
      </c>
      <c r="N87" s="16" t="n">
        <v>674549</v>
      </c>
      <c r="O87" s="16" t="n">
        <v>345769</v>
      </c>
      <c r="P87" s="16" t="n">
        <v>213477</v>
      </c>
      <c r="Q87" s="16" t="n">
        <v>254331</v>
      </c>
      <c r="R87" s="16" t="n">
        <v>258379</v>
      </c>
      <c r="S87" s="7"/>
      <c r="T87" s="7"/>
      <c r="U87" s="16" t="n">
        <v>4530743</v>
      </c>
      <c r="V87" s="16" t="n">
        <v>2943994</v>
      </c>
      <c r="W87" s="16" t="n">
        <v>1344702</v>
      </c>
      <c r="X87" s="16" t="n">
        <v>669528</v>
      </c>
      <c r="Y87" s="16" t="n">
        <v>730777</v>
      </c>
      <c r="Z87" s="16" t="n">
        <v>1135486</v>
      </c>
      <c r="AA87" s="7"/>
      <c r="AB87" s="7"/>
      <c r="AC87" s="16" t="n">
        <v>37937878</v>
      </c>
      <c r="AD87" s="16" t="n">
        <v>17164272</v>
      </c>
      <c r="AE87" s="16" t="n">
        <v>8271946</v>
      </c>
      <c r="AF87" s="16" t="n">
        <v>3930348</v>
      </c>
      <c r="AG87" s="16" t="n">
        <v>4663333</v>
      </c>
      <c r="AH87" s="16" t="n">
        <v>4735962</v>
      </c>
      <c r="AI87" s="8"/>
    </row>
    <row r="88" customFormat="false" ht="16.4" hidden="false" customHeight="false" outlineLevel="0" collapsed="false">
      <c r="B88" s="9"/>
      <c r="C88" s="14"/>
      <c r="D88" s="15" t="s">
        <v>22</v>
      </c>
      <c r="E88" s="16" t="n">
        <v>100498</v>
      </c>
      <c r="F88" s="16" t="n">
        <v>56588</v>
      </c>
      <c r="G88" s="16" t="n">
        <v>30281</v>
      </c>
      <c r="H88" s="16" t="n">
        <v>21114</v>
      </c>
      <c r="I88" s="16" t="n">
        <v>25011</v>
      </c>
      <c r="J88" s="16" t="n">
        <v>16534</v>
      </c>
      <c r="K88" s="7"/>
      <c r="L88" s="7"/>
      <c r="M88" s="16" t="n">
        <v>1117397</v>
      </c>
      <c r="N88" s="16" t="n">
        <v>668092</v>
      </c>
      <c r="O88" s="16" t="n">
        <v>357126</v>
      </c>
      <c r="P88" s="16" t="n">
        <v>224903</v>
      </c>
      <c r="Q88" s="16" t="n">
        <v>277907</v>
      </c>
      <c r="R88" s="16" t="n">
        <v>264163</v>
      </c>
      <c r="S88" s="7"/>
      <c r="T88" s="7"/>
      <c r="U88" s="16" t="n">
        <v>4506269</v>
      </c>
      <c r="V88" s="16" t="n">
        <v>2649830</v>
      </c>
      <c r="W88" s="16" t="n">
        <v>1371871</v>
      </c>
      <c r="X88" s="16" t="n">
        <v>669926</v>
      </c>
      <c r="Y88" s="16" t="n">
        <v>708571</v>
      </c>
      <c r="Z88" s="16" t="n">
        <v>1185940</v>
      </c>
      <c r="AA88" s="7"/>
      <c r="AB88" s="7"/>
      <c r="AC88" s="16" t="n">
        <v>37102990</v>
      </c>
      <c r="AD88" s="16" t="n">
        <v>17228583</v>
      </c>
      <c r="AE88" s="16" t="n">
        <v>8315659</v>
      </c>
      <c r="AF88" s="16" t="n">
        <v>4082535</v>
      </c>
      <c r="AG88" s="16" t="n">
        <v>4624186</v>
      </c>
      <c r="AH88" s="16" t="n">
        <v>4938906</v>
      </c>
      <c r="AI88" s="8"/>
    </row>
    <row r="89" customFormat="false" ht="16.4" hidden="false" customHeight="false" outlineLevel="0" collapsed="false">
      <c r="B89" s="9"/>
      <c r="C89" s="14"/>
      <c r="D89" s="15" t="s">
        <v>23</v>
      </c>
      <c r="E89" s="16" t="n">
        <v>105902</v>
      </c>
      <c r="F89" s="16" t="n">
        <v>57193</v>
      </c>
      <c r="G89" s="16" t="n">
        <v>31697</v>
      </c>
      <c r="H89" s="16" t="n">
        <v>20794</v>
      </c>
      <c r="I89" s="16" t="n">
        <v>19381</v>
      </c>
      <c r="J89" s="16" t="n">
        <v>15559</v>
      </c>
      <c r="K89" s="7"/>
      <c r="L89" s="7"/>
      <c r="M89" s="16" t="n">
        <v>1115565</v>
      </c>
      <c r="N89" s="16" t="n">
        <v>671288</v>
      </c>
      <c r="O89" s="16" t="n">
        <v>333009</v>
      </c>
      <c r="P89" s="16" t="n">
        <v>222507</v>
      </c>
      <c r="Q89" s="16" t="n">
        <v>238084</v>
      </c>
      <c r="R89" s="16" t="n">
        <v>263084</v>
      </c>
      <c r="S89" s="7"/>
      <c r="T89" s="7"/>
      <c r="U89" s="16" t="n">
        <v>4343498</v>
      </c>
      <c r="V89" s="16" t="n">
        <v>2487931</v>
      </c>
      <c r="W89" s="16" t="n">
        <v>1266342</v>
      </c>
      <c r="X89" s="16" t="n">
        <v>700234</v>
      </c>
      <c r="Y89" s="16" t="n">
        <v>680900</v>
      </c>
      <c r="Z89" s="16" t="n">
        <v>1149448</v>
      </c>
      <c r="AA89" s="7"/>
      <c r="AB89" s="7"/>
      <c r="AC89" s="16" t="n">
        <v>37760534</v>
      </c>
      <c r="AD89" s="16" t="n">
        <v>17462587</v>
      </c>
      <c r="AE89" s="16" t="n">
        <v>8275498</v>
      </c>
      <c r="AF89" s="16" t="n">
        <v>3952825</v>
      </c>
      <c r="AG89" s="16" t="n">
        <v>4648417</v>
      </c>
      <c r="AH89" s="16" t="n">
        <v>4673427</v>
      </c>
      <c r="AI89" s="8"/>
    </row>
    <row r="90" customFormat="false" ht="16.4" hidden="false" customHeight="false" outlineLevel="0" collapsed="false">
      <c r="B90" s="9"/>
      <c r="C90" s="14"/>
      <c r="D90" s="15" t="s">
        <v>24</v>
      </c>
      <c r="E90" s="16" t="n">
        <v>103869</v>
      </c>
      <c r="F90" s="16" t="n">
        <v>58585</v>
      </c>
      <c r="G90" s="16" t="n">
        <v>36007</v>
      </c>
      <c r="H90" s="16" t="n">
        <v>18801</v>
      </c>
      <c r="I90" s="16" t="n">
        <v>20665</v>
      </c>
      <c r="J90" s="16" t="n">
        <v>16460</v>
      </c>
      <c r="K90" s="7"/>
      <c r="L90" s="7"/>
      <c r="M90" s="16" t="n">
        <v>1104258</v>
      </c>
      <c r="N90" s="16" t="n">
        <v>657060</v>
      </c>
      <c r="O90" s="16" t="n">
        <v>332148</v>
      </c>
      <c r="P90" s="16" t="n">
        <v>275513</v>
      </c>
      <c r="Q90" s="16" t="n">
        <v>263982</v>
      </c>
      <c r="R90" s="16" t="n">
        <v>253753</v>
      </c>
      <c r="S90" s="7"/>
      <c r="T90" s="7"/>
      <c r="U90" s="16" t="n">
        <v>4307133</v>
      </c>
      <c r="V90" s="16" t="n">
        <v>2619148</v>
      </c>
      <c r="W90" s="16" t="n">
        <v>1245260</v>
      </c>
      <c r="X90" s="16" t="n">
        <v>692842</v>
      </c>
      <c r="Y90" s="16" t="n">
        <v>688740</v>
      </c>
      <c r="Z90" s="16" t="n">
        <v>1135829</v>
      </c>
      <c r="AA90" s="7"/>
      <c r="AB90" s="7"/>
      <c r="AC90" s="16" t="n">
        <v>38196138</v>
      </c>
      <c r="AD90" s="16" t="n">
        <v>17378337</v>
      </c>
      <c r="AE90" s="16" t="n">
        <v>8176383</v>
      </c>
      <c r="AF90" s="16" t="n">
        <v>4034919</v>
      </c>
      <c r="AG90" s="16" t="n">
        <v>4540914</v>
      </c>
      <c r="AH90" s="16" t="n">
        <v>4841001</v>
      </c>
      <c r="AI90" s="8"/>
    </row>
    <row r="91" customFormat="false" ht="16.4" hidden="false" customHeight="false" outlineLevel="0" collapsed="false">
      <c r="B91" s="9"/>
      <c r="C91" s="14"/>
      <c r="D91" s="15" t="s">
        <v>25</v>
      </c>
      <c r="E91" s="16" t="n">
        <v>104230</v>
      </c>
      <c r="F91" s="16" t="n">
        <v>56625</v>
      </c>
      <c r="G91" s="16" t="n">
        <v>32530</v>
      </c>
      <c r="H91" s="16" t="n">
        <v>20620</v>
      </c>
      <c r="I91" s="16" t="n">
        <v>16430</v>
      </c>
      <c r="J91" s="16" t="n">
        <v>16420</v>
      </c>
      <c r="K91" s="7"/>
      <c r="L91" s="7"/>
      <c r="M91" s="16" t="n">
        <v>1147466</v>
      </c>
      <c r="N91" s="16" t="n">
        <v>673231</v>
      </c>
      <c r="O91" s="16" t="n">
        <v>336330</v>
      </c>
      <c r="P91" s="16" t="n">
        <v>294925</v>
      </c>
      <c r="Q91" s="16" t="n">
        <v>253272</v>
      </c>
      <c r="R91" s="16" t="n">
        <v>276682</v>
      </c>
      <c r="S91" s="7"/>
      <c r="T91" s="7"/>
      <c r="U91" s="16" t="n">
        <v>4393602</v>
      </c>
      <c r="V91" s="16" t="n">
        <v>2582288</v>
      </c>
      <c r="W91" s="16" t="n">
        <v>1257101</v>
      </c>
      <c r="X91" s="16" t="n">
        <v>660031</v>
      </c>
      <c r="Y91" s="16" t="n">
        <v>685166</v>
      </c>
      <c r="Z91" s="16" t="n">
        <v>1118222</v>
      </c>
      <c r="AA91" s="7"/>
      <c r="AB91" s="7"/>
      <c r="AC91" s="16" t="n">
        <v>36918236</v>
      </c>
      <c r="AD91" s="16" t="n">
        <v>17515437</v>
      </c>
      <c r="AE91" s="16" t="n">
        <v>8048355</v>
      </c>
      <c r="AF91" s="16" t="n">
        <v>4000536</v>
      </c>
      <c r="AG91" s="16" t="n">
        <v>4698323</v>
      </c>
      <c r="AH91" s="16" t="n">
        <v>4498558</v>
      </c>
      <c r="AI91" s="8"/>
    </row>
    <row r="92" customFormat="false" ht="16.4" hidden="false" customHeight="false" outlineLevel="0" collapsed="false">
      <c r="B92" s="9"/>
      <c r="C92" s="14"/>
      <c r="D92" s="15" t="s">
        <v>26</v>
      </c>
      <c r="E92" s="16" t="n">
        <v>103404</v>
      </c>
      <c r="F92" s="16" t="n">
        <v>52889</v>
      </c>
      <c r="G92" s="16" t="n">
        <v>30946</v>
      </c>
      <c r="H92" s="16" t="n">
        <v>23660</v>
      </c>
      <c r="I92" s="16" t="n">
        <v>22732</v>
      </c>
      <c r="J92" s="16" t="n">
        <v>18136</v>
      </c>
      <c r="K92" s="7"/>
      <c r="L92" s="7"/>
      <c r="M92" s="16" t="n">
        <v>1087049</v>
      </c>
      <c r="N92" s="16" t="n">
        <v>706764</v>
      </c>
      <c r="O92" s="16" t="n">
        <v>337505</v>
      </c>
      <c r="P92" s="16" t="n">
        <v>244673</v>
      </c>
      <c r="Q92" s="16" t="n">
        <v>252161</v>
      </c>
      <c r="R92" s="16" t="n">
        <v>266862</v>
      </c>
      <c r="S92" s="7"/>
      <c r="T92" s="7"/>
      <c r="U92" s="16" t="n">
        <v>4997061</v>
      </c>
      <c r="V92" s="16" t="n">
        <v>2592146</v>
      </c>
      <c r="W92" s="16" t="n">
        <v>1266148</v>
      </c>
      <c r="X92" s="16" t="n">
        <v>752576</v>
      </c>
      <c r="Y92" s="16" t="n">
        <v>674494</v>
      </c>
      <c r="Z92" s="16" t="n">
        <v>1124527</v>
      </c>
      <c r="AA92" s="7"/>
      <c r="AB92" s="7"/>
      <c r="AC92" s="16" t="n">
        <v>40834801</v>
      </c>
      <c r="AD92" s="16" t="n">
        <v>17231527</v>
      </c>
      <c r="AE92" s="16" t="n">
        <v>7898429</v>
      </c>
      <c r="AF92" s="16" t="n">
        <v>4009483</v>
      </c>
      <c r="AG92" s="16" t="n">
        <v>4662671</v>
      </c>
      <c r="AH92" s="16" t="n">
        <v>4898136</v>
      </c>
      <c r="AI92" s="8"/>
    </row>
    <row r="93" customFormat="false" ht="16.4" hidden="false" customHeight="false" outlineLevel="0" collapsed="false">
      <c r="B93" s="9"/>
      <c r="C93" s="14"/>
      <c r="D93" s="15" t="s">
        <v>27</v>
      </c>
      <c r="E93" s="16" t="n">
        <v>101315</v>
      </c>
      <c r="F93" s="16" t="n">
        <v>56533</v>
      </c>
      <c r="G93" s="16" t="n">
        <v>27855</v>
      </c>
      <c r="H93" s="16" t="n">
        <v>21383</v>
      </c>
      <c r="I93" s="16" t="n">
        <v>20581</v>
      </c>
      <c r="J93" s="16" t="n">
        <v>15380</v>
      </c>
      <c r="K93" s="7"/>
      <c r="L93" s="7"/>
      <c r="M93" s="16" t="n">
        <v>1085210</v>
      </c>
      <c r="N93" s="16" t="n">
        <v>690448</v>
      </c>
      <c r="O93" s="16" t="n">
        <v>328300</v>
      </c>
      <c r="P93" s="16" t="n">
        <v>300135</v>
      </c>
      <c r="Q93" s="16" t="n">
        <v>280326</v>
      </c>
      <c r="R93" s="16" t="n">
        <v>265956</v>
      </c>
      <c r="S93" s="7"/>
      <c r="T93" s="7"/>
      <c r="U93" s="16" t="n">
        <v>4977980</v>
      </c>
      <c r="V93" s="16" t="n">
        <v>2581100</v>
      </c>
      <c r="W93" s="16" t="n">
        <v>1211808</v>
      </c>
      <c r="X93" s="16" t="n">
        <v>753141</v>
      </c>
      <c r="Y93" s="16" t="n">
        <v>692046</v>
      </c>
      <c r="Z93" s="16" t="n">
        <v>1116595</v>
      </c>
      <c r="AA93" s="7"/>
      <c r="AB93" s="7"/>
      <c r="AC93" s="16" t="n">
        <v>38534765</v>
      </c>
      <c r="AD93" s="16" t="n">
        <v>17611314</v>
      </c>
      <c r="AE93" s="16" t="n">
        <v>8116815</v>
      </c>
      <c r="AF93" s="16" t="n">
        <v>4139801</v>
      </c>
      <c r="AG93" s="16" t="n">
        <v>4635143</v>
      </c>
      <c r="AH93" s="16" t="n">
        <v>4944634</v>
      </c>
      <c r="AI93" s="8"/>
    </row>
    <row r="94" customFormat="false" ht="16.4" hidden="false" customHeight="false" outlineLevel="0" collapsed="false">
      <c r="B94" s="9"/>
      <c r="C94" s="14"/>
      <c r="D94" s="15" t="s">
        <v>28</v>
      </c>
      <c r="E94" s="16" t="n">
        <v>101777</v>
      </c>
      <c r="F94" s="16" t="n">
        <v>56425</v>
      </c>
      <c r="G94" s="16" t="n">
        <v>31091</v>
      </c>
      <c r="H94" s="16" t="n">
        <v>18132</v>
      </c>
      <c r="I94" s="16" t="n">
        <v>23988</v>
      </c>
      <c r="J94" s="16" t="n">
        <v>16061</v>
      </c>
      <c r="K94" s="7"/>
      <c r="L94" s="7"/>
      <c r="M94" s="16" t="n">
        <v>1113964</v>
      </c>
      <c r="N94" s="16" t="n">
        <v>681193</v>
      </c>
      <c r="O94" s="16" t="n">
        <v>344659</v>
      </c>
      <c r="P94" s="16" t="n">
        <v>288212</v>
      </c>
      <c r="Q94" s="16" t="n">
        <v>275871</v>
      </c>
      <c r="R94" s="16" t="n">
        <v>263817</v>
      </c>
      <c r="S94" s="7"/>
      <c r="T94" s="7"/>
      <c r="U94" s="16" t="n">
        <v>4587247</v>
      </c>
      <c r="V94" s="16" t="n">
        <v>2527912</v>
      </c>
      <c r="W94" s="16" t="n">
        <v>1224629</v>
      </c>
      <c r="X94" s="16" t="n">
        <v>695104</v>
      </c>
      <c r="Y94" s="16" t="n">
        <v>676952</v>
      </c>
      <c r="Z94" s="16" t="n">
        <v>1127127</v>
      </c>
      <c r="AA94" s="7"/>
      <c r="AB94" s="7"/>
      <c r="AC94" s="16" t="n">
        <v>36175277</v>
      </c>
      <c r="AD94" s="16" t="n">
        <v>17536838</v>
      </c>
      <c r="AE94" s="16" t="n">
        <v>8115658</v>
      </c>
      <c r="AF94" s="16" t="n">
        <v>4057607</v>
      </c>
      <c r="AG94" s="16" t="n">
        <v>4633192</v>
      </c>
      <c r="AH94" s="16" t="n">
        <v>4495372</v>
      </c>
      <c r="AI94" s="8"/>
    </row>
    <row r="95" customFormat="false" ht="16.4" hidden="false" customHeight="false" outlineLevel="0" collapsed="false">
      <c r="B95" s="9"/>
      <c r="C95" s="14"/>
      <c r="D95" s="15" t="s">
        <v>29</v>
      </c>
      <c r="E95" s="16" t="n">
        <v>103140</v>
      </c>
      <c r="F95" s="16" t="n">
        <v>55627</v>
      </c>
      <c r="G95" s="16" t="n">
        <v>30243</v>
      </c>
      <c r="H95" s="16" t="n">
        <v>20419</v>
      </c>
      <c r="I95" s="16" t="n">
        <v>17108</v>
      </c>
      <c r="J95" s="16" t="n">
        <v>15788</v>
      </c>
      <c r="K95" s="7"/>
      <c r="L95" s="7"/>
      <c r="M95" s="16" t="n">
        <v>1145961</v>
      </c>
      <c r="N95" s="16" t="n">
        <v>943361</v>
      </c>
      <c r="O95" s="16" t="n">
        <v>346526</v>
      </c>
      <c r="P95" s="16" t="n">
        <v>265336</v>
      </c>
      <c r="Q95" s="16" t="n">
        <v>230422</v>
      </c>
      <c r="R95" s="16" t="n">
        <v>270023</v>
      </c>
      <c r="S95" s="7"/>
      <c r="T95" s="7"/>
      <c r="U95" s="16" t="n">
        <v>5127739</v>
      </c>
      <c r="V95" s="16" t="n">
        <v>3071299</v>
      </c>
      <c r="W95" s="16" t="n">
        <v>1283369</v>
      </c>
      <c r="X95" s="16" t="n">
        <v>681501</v>
      </c>
      <c r="Y95" s="16" t="n">
        <v>679177</v>
      </c>
      <c r="Z95" s="16" t="n">
        <v>1120063</v>
      </c>
      <c r="AA95" s="7"/>
      <c r="AB95" s="7"/>
      <c r="AC95" s="16" t="n">
        <v>39237773</v>
      </c>
      <c r="AD95" s="16" t="n">
        <v>17156963</v>
      </c>
      <c r="AE95" s="16" t="n">
        <v>8378168</v>
      </c>
      <c r="AF95" s="16" t="n">
        <v>3972809</v>
      </c>
      <c r="AG95" s="16" t="n">
        <v>4562685</v>
      </c>
      <c r="AH95" s="16" t="n">
        <v>4970233</v>
      </c>
      <c r="AI95" s="8"/>
    </row>
    <row r="96" customFormat="false" ht="16.4" hidden="false" customHeight="false" outlineLevel="0" collapsed="false">
      <c r="B96" s="9"/>
      <c r="C96" s="14"/>
      <c r="D96" s="15" t="s">
        <v>30</v>
      </c>
      <c r="E96" s="16" t="n">
        <v>98274</v>
      </c>
      <c r="F96" s="16" t="n">
        <v>59754</v>
      </c>
      <c r="G96" s="16" t="n">
        <v>35723</v>
      </c>
      <c r="H96" s="16" t="n">
        <v>19461</v>
      </c>
      <c r="I96" s="16" t="n">
        <v>20951</v>
      </c>
      <c r="J96" s="16" t="n">
        <v>15144</v>
      </c>
      <c r="K96" s="7"/>
      <c r="L96" s="7"/>
      <c r="M96" s="16" t="n">
        <v>1104757</v>
      </c>
      <c r="N96" s="16" t="n">
        <v>711933</v>
      </c>
      <c r="O96" s="16" t="n">
        <v>400992</v>
      </c>
      <c r="P96" s="16" t="n">
        <v>329374</v>
      </c>
      <c r="Q96" s="16" t="n">
        <v>270601</v>
      </c>
      <c r="R96" s="16" t="n">
        <v>260474</v>
      </c>
      <c r="S96" s="7"/>
      <c r="T96" s="7"/>
      <c r="U96" s="16" t="n">
        <v>4410006</v>
      </c>
      <c r="V96" s="16" t="n">
        <v>2667964</v>
      </c>
      <c r="W96" s="16" t="n">
        <v>1217440</v>
      </c>
      <c r="X96" s="16" t="n">
        <v>691442</v>
      </c>
      <c r="Y96" s="16" t="n">
        <v>672217</v>
      </c>
      <c r="Z96" s="16" t="n">
        <v>1121558</v>
      </c>
      <c r="AA96" s="7"/>
      <c r="AB96" s="7"/>
      <c r="AC96" s="16" t="n">
        <v>38307685</v>
      </c>
      <c r="AD96" s="16" t="n">
        <v>17192130</v>
      </c>
      <c r="AE96" s="16" t="n">
        <v>8196294</v>
      </c>
      <c r="AF96" s="16" t="n">
        <v>4016460</v>
      </c>
      <c r="AG96" s="16" t="n">
        <v>4618775</v>
      </c>
      <c r="AH96" s="16" t="n">
        <v>4738212</v>
      </c>
      <c r="AI96" s="8"/>
    </row>
    <row r="97" customFormat="false" ht="16.4" hidden="false" customHeight="false" outlineLevel="0" collapsed="false">
      <c r="B97" s="9"/>
      <c r="C97" s="14"/>
      <c r="D97" s="15" t="s">
        <v>31</v>
      </c>
      <c r="E97" s="16" t="n">
        <v>104656</v>
      </c>
      <c r="F97" s="16" t="n">
        <v>54311</v>
      </c>
      <c r="G97" s="16" t="n">
        <v>28429</v>
      </c>
      <c r="H97" s="16" t="n">
        <v>20700</v>
      </c>
      <c r="I97" s="16" t="n">
        <v>21301</v>
      </c>
      <c r="J97" s="16" t="n">
        <v>15501</v>
      </c>
      <c r="K97" s="7"/>
      <c r="L97" s="7"/>
      <c r="M97" s="16" t="n">
        <v>1117287</v>
      </c>
      <c r="N97" s="16" t="n">
        <v>690836</v>
      </c>
      <c r="O97" s="16" t="n">
        <v>340710</v>
      </c>
      <c r="P97" s="16" t="n">
        <v>317656</v>
      </c>
      <c r="Q97" s="16" t="n">
        <v>271268</v>
      </c>
      <c r="R97" s="16" t="n">
        <v>259393</v>
      </c>
      <c r="S97" s="7"/>
      <c r="T97" s="7"/>
      <c r="U97" s="16" t="n">
        <v>4515916</v>
      </c>
      <c r="V97" s="16" t="n">
        <v>2535263</v>
      </c>
      <c r="W97" s="16" t="n">
        <v>1368200</v>
      </c>
      <c r="X97" s="16" t="n">
        <v>680777</v>
      </c>
      <c r="Y97" s="16" t="n">
        <v>675894</v>
      </c>
      <c r="Z97" s="16" t="n">
        <v>1145157</v>
      </c>
      <c r="AA97" s="7"/>
      <c r="AB97" s="7"/>
      <c r="AC97" s="16" t="n">
        <v>36987073</v>
      </c>
      <c r="AD97" s="16" t="n">
        <v>17343717</v>
      </c>
      <c r="AE97" s="16" t="n">
        <v>8144577</v>
      </c>
      <c r="AF97" s="16" t="n">
        <v>3929015</v>
      </c>
      <c r="AG97" s="16" t="n">
        <v>4647583</v>
      </c>
      <c r="AH97" s="16" t="n">
        <v>4885913</v>
      </c>
      <c r="AI97" s="8"/>
    </row>
    <row r="98" customFormat="false" ht="16.4" hidden="false" customHeight="false" outlineLevel="0" collapsed="false">
      <c r="B98" s="9"/>
      <c r="C98" s="14"/>
      <c r="D98" s="15" t="s">
        <v>32</v>
      </c>
      <c r="E98" s="16" t="n">
        <v>104523</v>
      </c>
      <c r="F98" s="16" t="n">
        <v>54913</v>
      </c>
      <c r="G98" s="16" t="n">
        <v>35571</v>
      </c>
      <c r="H98" s="16" t="n">
        <v>21793</v>
      </c>
      <c r="I98" s="16" t="n">
        <v>19785</v>
      </c>
      <c r="J98" s="16" t="n">
        <v>15154</v>
      </c>
      <c r="K98" s="7"/>
      <c r="L98" s="7"/>
      <c r="M98" s="16" t="n">
        <v>1118139</v>
      </c>
      <c r="N98" s="16" t="n">
        <v>642075</v>
      </c>
      <c r="O98" s="16" t="n">
        <v>330392</v>
      </c>
      <c r="P98" s="16" t="n">
        <v>174455</v>
      </c>
      <c r="Q98" s="16" t="n">
        <v>235249</v>
      </c>
      <c r="R98" s="16" t="n">
        <v>257945</v>
      </c>
      <c r="S98" s="7"/>
      <c r="T98" s="7"/>
      <c r="U98" s="16" t="n">
        <v>4384428</v>
      </c>
      <c r="V98" s="16" t="n">
        <v>2587093</v>
      </c>
      <c r="W98" s="16" t="n">
        <v>1278471</v>
      </c>
      <c r="X98" s="16" t="n">
        <v>682900</v>
      </c>
      <c r="Y98" s="16" t="n">
        <v>678409</v>
      </c>
      <c r="Z98" s="16" t="n">
        <v>1160360</v>
      </c>
      <c r="AA98" s="7"/>
      <c r="AB98" s="7"/>
      <c r="AC98" s="16" t="n">
        <v>37842061</v>
      </c>
      <c r="AD98" s="16" t="n">
        <v>17668729</v>
      </c>
      <c r="AE98" s="16" t="n">
        <v>8066405</v>
      </c>
      <c r="AF98" s="16" t="n">
        <v>3956157</v>
      </c>
      <c r="AG98" s="16" t="n">
        <v>4571941</v>
      </c>
      <c r="AH98" s="16" t="n">
        <v>4701675</v>
      </c>
      <c r="AI98" s="8"/>
    </row>
    <row r="99" customFormat="false" ht="16.4" hidden="false" customHeight="false" outlineLevel="0" collapsed="false">
      <c r="B99" s="9"/>
      <c r="C99" s="14"/>
      <c r="D99" s="15" t="s">
        <v>33</v>
      </c>
      <c r="E99" s="16" t="n">
        <v>108767</v>
      </c>
      <c r="F99" s="16" t="n">
        <v>55510</v>
      </c>
      <c r="G99" s="16" t="n">
        <v>29355</v>
      </c>
      <c r="H99" s="16" t="n">
        <v>20775</v>
      </c>
      <c r="I99" s="16" t="n">
        <v>20565</v>
      </c>
      <c r="J99" s="16" t="n">
        <v>17349</v>
      </c>
      <c r="K99" s="7"/>
      <c r="L99" s="7"/>
      <c r="M99" s="16" t="n">
        <v>1244354</v>
      </c>
      <c r="N99" s="16" t="n">
        <v>639399</v>
      </c>
      <c r="O99" s="16" t="n">
        <v>331025</v>
      </c>
      <c r="P99" s="16" t="n">
        <v>283272</v>
      </c>
      <c r="Q99" s="16" t="n">
        <v>269936</v>
      </c>
      <c r="R99" s="16" t="n">
        <v>262767</v>
      </c>
      <c r="S99" s="7"/>
      <c r="T99" s="7"/>
      <c r="U99" s="16" t="n">
        <v>4691994</v>
      </c>
      <c r="V99" s="16" t="n">
        <v>2491931</v>
      </c>
      <c r="W99" s="16" t="n">
        <v>1293381</v>
      </c>
      <c r="X99" s="16" t="n">
        <v>683746</v>
      </c>
      <c r="Y99" s="16" t="n">
        <v>662305</v>
      </c>
      <c r="Z99" s="16" t="n">
        <v>1110764</v>
      </c>
      <c r="AA99" s="7"/>
      <c r="AB99" s="7"/>
      <c r="AC99" s="16" t="n">
        <v>46360768</v>
      </c>
      <c r="AD99" s="16" t="n">
        <v>17588740</v>
      </c>
      <c r="AE99" s="16" t="n">
        <v>8192686</v>
      </c>
      <c r="AF99" s="16" t="n">
        <v>3951236</v>
      </c>
      <c r="AG99" s="16" t="n">
        <v>4763794</v>
      </c>
      <c r="AH99" s="16" t="n">
        <v>4550013</v>
      </c>
      <c r="AI99" s="8"/>
    </row>
    <row r="100" customFormat="false" ht="16.4" hidden="false" customHeight="false" outlineLevel="0" collapsed="false">
      <c r="B100" s="9"/>
      <c r="C100" s="14"/>
      <c r="D100" s="15" t="s">
        <v>34</v>
      </c>
      <c r="E100" s="16" t="n">
        <v>104196</v>
      </c>
      <c r="F100" s="16" t="n">
        <v>55444</v>
      </c>
      <c r="G100" s="16" t="n">
        <v>30258</v>
      </c>
      <c r="H100" s="16" t="n">
        <v>21495</v>
      </c>
      <c r="I100" s="16" t="n">
        <v>15524</v>
      </c>
      <c r="J100" s="16" t="n">
        <v>15252</v>
      </c>
      <c r="K100" s="7"/>
      <c r="L100" s="7"/>
      <c r="M100" s="16" t="n">
        <v>1422190</v>
      </c>
      <c r="N100" s="16" t="n">
        <v>660199</v>
      </c>
      <c r="O100" s="16" t="n">
        <v>327896</v>
      </c>
      <c r="P100" s="16" t="n">
        <v>303034</v>
      </c>
      <c r="Q100" s="16" t="n">
        <v>258946</v>
      </c>
      <c r="R100" s="16" t="n">
        <v>255525</v>
      </c>
      <c r="S100" s="7"/>
      <c r="T100" s="7"/>
      <c r="U100" s="16" t="n">
        <v>4632064</v>
      </c>
      <c r="V100" s="16" t="n">
        <v>2490024</v>
      </c>
      <c r="W100" s="16" t="n">
        <v>1281982</v>
      </c>
      <c r="X100" s="16" t="n">
        <v>696393</v>
      </c>
      <c r="Y100" s="16" t="n">
        <v>667063</v>
      </c>
      <c r="Z100" s="16" t="n">
        <v>1162844</v>
      </c>
      <c r="AA100" s="7"/>
      <c r="AB100" s="7"/>
      <c r="AC100" s="16" t="n">
        <v>46489252</v>
      </c>
      <c r="AD100" s="16" t="n">
        <v>17478239</v>
      </c>
      <c r="AE100" s="16" t="n">
        <v>8282341</v>
      </c>
      <c r="AF100" s="16" t="n">
        <v>4077967</v>
      </c>
      <c r="AG100" s="16" t="n">
        <v>4609979</v>
      </c>
      <c r="AH100" s="16" t="n">
        <v>4768225</v>
      </c>
      <c r="AI100" s="8"/>
    </row>
    <row r="101" customFormat="false" ht="16.4" hidden="false" customHeight="false" outlineLevel="0" collapsed="false">
      <c r="B101" s="9"/>
      <c r="C101" s="14"/>
      <c r="D101" s="15" t="s">
        <v>35</v>
      </c>
      <c r="E101" s="16" t="n">
        <v>104716</v>
      </c>
      <c r="F101" s="16" t="n">
        <v>54321</v>
      </c>
      <c r="G101" s="16" t="n">
        <v>31339</v>
      </c>
      <c r="H101" s="16" t="n">
        <v>14793</v>
      </c>
      <c r="I101" s="16" t="n">
        <v>22025</v>
      </c>
      <c r="J101" s="16" t="n">
        <v>15796</v>
      </c>
      <c r="K101" s="7"/>
      <c r="L101" s="7"/>
      <c r="M101" s="16" t="n">
        <v>1423230</v>
      </c>
      <c r="N101" s="16" t="n">
        <v>709265</v>
      </c>
      <c r="O101" s="16" t="n">
        <v>333732</v>
      </c>
      <c r="P101" s="16" t="n">
        <v>269883</v>
      </c>
      <c r="Q101" s="16" t="n">
        <v>225386</v>
      </c>
      <c r="R101" s="16" t="n">
        <v>264221</v>
      </c>
      <c r="S101" s="7"/>
      <c r="T101" s="7"/>
      <c r="U101" s="16" t="n">
        <v>4579675</v>
      </c>
      <c r="V101" s="16" t="n">
        <v>2621940</v>
      </c>
      <c r="W101" s="16" t="n">
        <v>1324202</v>
      </c>
      <c r="X101" s="16" t="n">
        <v>719725</v>
      </c>
      <c r="Y101" s="16" t="n">
        <v>766863</v>
      </c>
      <c r="Z101" s="16" t="n">
        <v>1102970</v>
      </c>
      <c r="AA101" s="7"/>
      <c r="AB101" s="7"/>
      <c r="AC101" s="16" t="n">
        <v>36545640</v>
      </c>
      <c r="AD101" s="16" t="n">
        <v>17517460</v>
      </c>
      <c r="AE101" s="16" t="n">
        <v>8271259</v>
      </c>
      <c r="AF101" s="16" t="n">
        <v>3941888</v>
      </c>
      <c r="AG101" s="16" t="n">
        <v>4635777</v>
      </c>
      <c r="AH101" s="16" t="n">
        <v>4656779</v>
      </c>
      <c r="AI101" s="8"/>
    </row>
    <row r="102" customFormat="false" ht="16.4" hidden="false" customHeight="false" outlineLevel="0" collapsed="false">
      <c r="B102" s="9"/>
      <c r="C102" s="14"/>
      <c r="D102" s="15" t="s">
        <v>36</v>
      </c>
      <c r="E102" s="16" t="n">
        <v>105810</v>
      </c>
      <c r="F102" s="16" t="n">
        <v>53924</v>
      </c>
      <c r="G102" s="16" t="n">
        <v>30069</v>
      </c>
      <c r="H102" s="16" t="n">
        <v>18380</v>
      </c>
      <c r="I102" s="16" t="n">
        <v>21187</v>
      </c>
      <c r="J102" s="16" t="n">
        <v>15105</v>
      </c>
      <c r="K102" s="7"/>
      <c r="L102" s="7"/>
      <c r="M102" s="16" t="n">
        <v>1403217</v>
      </c>
      <c r="N102" s="16" t="n">
        <v>672440</v>
      </c>
      <c r="O102" s="16" t="n">
        <v>335037</v>
      </c>
      <c r="P102" s="16" t="n">
        <v>281857</v>
      </c>
      <c r="Q102" s="16" t="n">
        <v>253499</v>
      </c>
      <c r="R102" s="16" t="n">
        <v>260532</v>
      </c>
      <c r="S102" s="7"/>
      <c r="T102" s="7"/>
      <c r="U102" s="16" t="n">
        <v>4474361</v>
      </c>
      <c r="V102" s="16" t="n">
        <v>2525765</v>
      </c>
      <c r="W102" s="16" t="n">
        <v>1264773</v>
      </c>
      <c r="X102" s="16" t="n">
        <v>658178</v>
      </c>
      <c r="Y102" s="16" t="n">
        <v>715270</v>
      </c>
      <c r="Z102" s="16" t="n">
        <v>1126493</v>
      </c>
      <c r="AA102" s="7"/>
      <c r="AB102" s="7"/>
      <c r="AC102" s="16" t="n">
        <v>38048960</v>
      </c>
      <c r="AD102" s="16" t="n">
        <v>17115527</v>
      </c>
      <c r="AE102" s="16" t="n">
        <v>8155269</v>
      </c>
      <c r="AF102" s="16" t="n">
        <v>3874209</v>
      </c>
      <c r="AG102" s="16" t="n">
        <v>4664437</v>
      </c>
      <c r="AH102" s="16" t="n">
        <v>4577809</v>
      </c>
      <c r="AI102" s="8"/>
    </row>
    <row r="103" customFormat="false" ht="16.4" hidden="false" customHeight="false" outlineLevel="0" collapsed="false">
      <c r="B103" s="9"/>
      <c r="C103" s="14"/>
      <c r="D103" s="15" t="s">
        <v>37</v>
      </c>
      <c r="E103" s="16" t="n">
        <v>99654</v>
      </c>
      <c r="F103" s="16" t="n">
        <v>54128</v>
      </c>
      <c r="G103" s="16" t="n">
        <v>30372</v>
      </c>
      <c r="H103" s="16" t="n">
        <v>21942</v>
      </c>
      <c r="I103" s="16" t="n">
        <v>24168</v>
      </c>
      <c r="J103" s="16" t="n">
        <v>14739</v>
      </c>
      <c r="K103" s="7"/>
      <c r="L103" s="7"/>
      <c r="M103" s="16" t="n">
        <v>1412316</v>
      </c>
      <c r="N103" s="16" t="n">
        <v>683014</v>
      </c>
      <c r="O103" s="16" t="n">
        <v>329211</v>
      </c>
      <c r="P103" s="16" t="n">
        <v>286768</v>
      </c>
      <c r="Q103" s="16" t="n">
        <v>266554</v>
      </c>
      <c r="R103" s="16" t="n">
        <v>262784</v>
      </c>
      <c r="S103" s="7"/>
      <c r="T103" s="7"/>
      <c r="U103" s="16" t="n">
        <v>5044749</v>
      </c>
      <c r="V103" s="16" t="n">
        <v>2599639</v>
      </c>
      <c r="W103" s="16" t="n">
        <v>1312020</v>
      </c>
      <c r="X103" s="16" t="n">
        <v>686788</v>
      </c>
      <c r="Y103" s="16" t="n">
        <v>693558</v>
      </c>
      <c r="Z103" s="16" t="n">
        <v>1123787</v>
      </c>
      <c r="AA103" s="7"/>
      <c r="AB103" s="7"/>
      <c r="AC103" s="16" t="n">
        <v>45407111</v>
      </c>
      <c r="AD103" s="16" t="n">
        <v>17365752</v>
      </c>
      <c r="AE103" s="16" t="n">
        <v>8128233</v>
      </c>
      <c r="AF103" s="16" t="n">
        <v>3893162</v>
      </c>
      <c r="AG103" s="16" t="n">
        <v>4653237</v>
      </c>
      <c r="AH103" s="16" t="n">
        <v>4939909</v>
      </c>
      <c r="AI103" s="8"/>
    </row>
    <row r="104" customFormat="false" ht="16.4" hidden="false" customHeight="false" outlineLevel="0" collapsed="false">
      <c r="B104" s="9"/>
      <c r="C104" s="14"/>
      <c r="D104" s="15" t="s">
        <v>38</v>
      </c>
      <c r="E104" s="16" t="n">
        <v>103305</v>
      </c>
      <c r="F104" s="16" t="n">
        <v>52367</v>
      </c>
      <c r="G104" s="16" t="n">
        <v>32789</v>
      </c>
      <c r="H104" s="16" t="n">
        <v>19218</v>
      </c>
      <c r="I104" s="16" t="n">
        <v>23406</v>
      </c>
      <c r="J104" s="16" t="n">
        <v>15356</v>
      </c>
      <c r="K104" s="7"/>
      <c r="L104" s="7"/>
      <c r="M104" s="16" t="n">
        <v>1406809</v>
      </c>
      <c r="N104" s="16" t="n">
        <v>664567</v>
      </c>
      <c r="O104" s="16" t="n">
        <v>331974</v>
      </c>
      <c r="P104" s="16" t="n">
        <v>252742</v>
      </c>
      <c r="Q104" s="16" t="n">
        <v>234482</v>
      </c>
      <c r="R104" s="16" t="n">
        <v>265207</v>
      </c>
      <c r="S104" s="7"/>
      <c r="T104" s="7"/>
      <c r="U104" s="16" t="n">
        <v>4564332</v>
      </c>
      <c r="V104" s="16" t="n">
        <v>2604060</v>
      </c>
      <c r="W104" s="16" t="n">
        <v>1280217</v>
      </c>
      <c r="X104" s="16" t="n">
        <v>670999</v>
      </c>
      <c r="Y104" s="16" t="n">
        <v>688055</v>
      </c>
      <c r="Z104" s="16" t="n">
        <v>1113505</v>
      </c>
      <c r="AA104" s="7"/>
      <c r="AB104" s="7"/>
      <c r="AC104" s="16" t="n">
        <v>43537105</v>
      </c>
      <c r="AD104" s="16" t="n">
        <v>17563554</v>
      </c>
      <c r="AE104" s="16" t="n">
        <v>8189236</v>
      </c>
      <c r="AF104" s="16" t="n">
        <v>4051391</v>
      </c>
      <c r="AG104" s="16" t="n">
        <v>4525064</v>
      </c>
      <c r="AH104" s="16" t="n">
        <v>4650708</v>
      </c>
      <c r="AI104" s="8"/>
    </row>
    <row r="105" customFormat="false" ht="16.4" hidden="false" customHeight="false" outlineLevel="0" collapsed="false">
      <c r="B105" s="9"/>
      <c r="C105" s="14"/>
      <c r="D105" s="15" t="s">
        <v>39</v>
      </c>
      <c r="E105" s="16" t="n">
        <v>100747</v>
      </c>
      <c r="F105" s="16" t="n">
        <v>55594</v>
      </c>
      <c r="G105" s="16" t="n">
        <v>30589</v>
      </c>
      <c r="H105" s="16" t="n">
        <v>20311</v>
      </c>
      <c r="I105" s="16" t="n">
        <v>18252</v>
      </c>
      <c r="J105" s="16" t="n">
        <v>15434</v>
      </c>
      <c r="K105" s="7"/>
      <c r="L105" s="7"/>
      <c r="M105" s="16" t="n">
        <v>1438608</v>
      </c>
      <c r="N105" s="16" t="n">
        <v>718961</v>
      </c>
      <c r="O105" s="16" t="n">
        <v>340039</v>
      </c>
      <c r="P105" s="16" t="n">
        <v>285177</v>
      </c>
      <c r="Q105" s="16" t="n">
        <v>256929</v>
      </c>
      <c r="R105" s="16" t="n">
        <v>257390</v>
      </c>
      <c r="S105" s="7"/>
      <c r="T105" s="7"/>
      <c r="U105" s="16" t="n">
        <v>4355715</v>
      </c>
      <c r="V105" s="16" t="n">
        <v>2735992</v>
      </c>
      <c r="W105" s="16" t="n">
        <v>1474640</v>
      </c>
      <c r="X105" s="16" t="n">
        <v>644845</v>
      </c>
      <c r="Y105" s="16" t="n">
        <v>680344</v>
      </c>
      <c r="Z105" s="16" t="n">
        <v>1122686</v>
      </c>
      <c r="AA105" s="7"/>
      <c r="AB105" s="7"/>
      <c r="AC105" s="16" t="n">
        <v>45394102</v>
      </c>
      <c r="AD105" s="16" t="n">
        <v>17281266</v>
      </c>
      <c r="AE105" s="16" t="n">
        <v>8112585</v>
      </c>
      <c r="AF105" s="16" t="n">
        <v>4045188</v>
      </c>
      <c r="AG105" s="16" t="n">
        <v>4610461</v>
      </c>
      <c r="AH105" s="16" t="n">
        <v>5049045</v>
      </c>
      <c r="AI105" s="8"/>
    </row>
    <row r="106" customFormat="false" ht="16.4" hidden="false" customHeight="false" outlineLevel="0" collapsed="false">
      <c r="B106" s="9"/>
      <c r="C106" s="14"/>
      <c r="D106" s="15" t="s">
        <v>40</v>
      </c>
      <c r="E106" s="16" t="n">
        <v>105021</v>
      </c>
      <c r="F106" s="16" t="n">
        <v>56140</v>
      </c>
      <c r="G106" s="16" t="n">
        <v>29820</v>
      </c>
      <c r="H106" s="16" t="n">
        <v>23766</v>
      </c>
      <c r="I106" s="16" t="n">
        <v>22007</v>
      </c>
      <c r="J106" s="16" t="n">
        <v>15809</v>
      </c>
      <c r="K106" s="7"/>
      <c r="L106" s="7"/>
      <c r="M106" s="16" t="n">
        <v>1415450</v>
      </c>
      <c r="N106" s="16" t="n">
        <v>673139</v>
      </c>
      <c r="O106" s="16" t="n">
        <v>361020</v>
      </c>
      <c r="P106" s="16" t="n">
        <v>280930</v>
      </c>
      <c r="Q106" s="16" t="n">
        <v>250752</v>
      </c>
      <c r="R106" s="16" t="n">
        <v>258801</v>
      </c>
      <c r="S106" s="7"/>
      <c r="T106" s="7"/>
      <c r="U106" s="16" t="n">
        <v>4555424</v>
      </c>
      <c r="V106" s="16" t="n">
        <v>2530438</v>
      </c>
      <c r="W106" s="16" t="n">
        <v>1276941</v>
      </c>
      <c r="X106" s="16" t="n">
        <v>677985</v>
      </c>
      <c r="Y106" s="16" t="n">
        <v>679639</v>
      </c>
      <c r="Z106" s="16" t="n">
        <v>1130582</v>
      </c>
      <c r="AA106" s="7"/>
      <c r="AB106" s="7"/>
      <c r="AC106" s="16" t="n">
        <v>45939775</v>
      </c>
      <c r="AD106" s="16" t="n">
        <v>17068758</v>
      </c>
      <c r="AE106" s="16" t="n">
        <v>8132631</v>
      </c>
      <c r="AF106" s="16" t="n">
        <v>4110143</v>
      </c>
      <c r="AG106" s="16" t="n">
        <v>4575243</v>
      </c>
      <c r="AH106" s="16" t="n">
        <v>4487501</v>
      </c>
      <c r="AI106" s="8"/>
    </row>
    <row r="107" customFormat="false" ht="14.25" hidden="false" customHeight="false" outlineLevel="0" collapsed="false">
      <c r="B107" s="9"/>
      <c r="C107" s="18"/>
      <c r="D107" s="19" t="s">
        <v>41</v>
      </c>
      <c r="E107" s="20" t="n">
        <f aca="false" t="array" ref="E107:E107">ROUND(AVERAGE(IF((ISNUMBER(E77:E106))*(E77:E106&lt;LARGE(E77:E106,2))*(E77:E106&gt;SMALL(E77:E106,2)),E77:E106)),0)</f>
        <v>104090</v>
      </c>
      <c r="F107" s="20" t="n">
        <f aca="false" t="array" ref="F107:F107">ROUND(AVERAGE(IF((ISNUMBER(F77:F106))*(F77:F106&lt;LARGE(F77:F106,2))*(F77:F106&gt;SMALL(F77:F106,2)),F77:F106)),0)</f>
        <v>55488</v>
      </c>
      <c r="G107" s="20" t="n">
        <f aca="false" t="array" ref="G107:G107">ROUND(AVERAGE(IF((ISNUMBER(G77:G106))*(G77:G106&lt;LARGE(G77:G106,2))*(G77:G106&gt;SMALL(G77:G106,2)),G77:G106)),0)</f>
        <v>31511</v>
      </c>
      <c r="H107" s="20" t="n">
        <f aca="false" t="array" ref="H107:H107">ROUND(AVERAGE(IF((ISNUMBER(H77:H106))*(H77:H106&lt;LARGE(H77:H106,2))*(H77:H106&gt;SMALL(H77:H106,2)),H77:H106)),0)</f>
        <v>20099</v>
      </c>
      <c r="I107" s="20" t="n">
        <f aca="false" t="array" ref="I107:I107">ROUND(AVERAGE(IF((ISNUMBER(I77:I106))*(I77:I106&lt;LARGE(I77:I106,2))*(I77:I106&gt;SMALL(I77:I106,2)),I77:I106)),0)</f>
        <v>21005</v>
      </c>
      <c r="J107" s="20" t="n">
        <f aca="false" t="array" ref="J107:J107">ROUND(AVERAGE(IF((ISNUMBER(J77:J106))*(J77:J106&lt;LARGE(J77:J106,2))*(J77:J106&gt;SMALL(J77:J106,2)),J77:J106)),0)</f>
        <v>15657</v>
      </c>
      <c r="K107" s="20"/>
      <c r="L107" s="20"/>
      <c r="M107" s="20" t="n">
        <f aca="false" t="array" ref="M107:M107">ROUND(AVERAGE(IF((ISNUMBER(M77:M106))*(M77:M106&lt;LARGE(M77:M106,2))*(M77:M106&gt;SMALL(M77:M106,2)),M77:M106)),0)</f>
        <v>1187654</v>
      </c>
      <c r="N107" s="20" t="n">
        <f aca="false" t="array" ref="N107:N107">ROUND(AVERAGE(IF((ISNUMBER(N77:N106))*(N77:N106&lt;LARGE(N77:N106,2))*(N77:N106&gt;SMALL(N77:N106,2)),N77:N106)),0)</f>
        <v>688949</v>
      </c>
      <c r="O107" s="20" t="n">
        <f aca="false" t="array" ref="O107:O107">ROUND(AVERAGE(IF((ISNUMBER(O77:O106))*(O77:O106&lt;LARGE(O77:O106,2))*(O77:O106&gt;SMALL(O77:O106,2)),O77:O106)),0)</f>
        <v>340104</v>
      </c>
      <c r="P107" s="20" t="n">
        <f aca="false" t="array" ref="P107:P107">ROUND(AVERAGE(IF((ISNUMBER(P77:P106))*(P77:P106&lt;LARGE(P77:P106,2))*(P77:P106&gt;SMALL(P77:P106,2)),P77:P106)),0)</f>
        <v>250902</v>
      </c>
      <c r="Q107" s="20" t="n">
        <f aca="false" t="array" ref="Q107:Q107">ROUND(AVERAGE(IF((ISNUMBER(Q77:Q106))*(Q77:Q106&lt;LARGE(Q77:Q106,2))*(Q77:Q106&gt;SMALL(Q77:Q106,2)),Q77:Q106)),0)</f>
        <v>252938</v>
      </c>
      <c r="R107" s="20" t="n">
        <f aca="false" t="array" ref="R107:R107">ROUND(AVERAGE(IF((ISNUMBER(R77:R106))*(R77:R106&lt;LARGE(R77:R106,2))*(R77:R106&gt;SMALL(R77:R106,2)),R77:R106)),0)</f>
        <v>261758</v>
      </c>
      <c r="S107" s="20"/>
      <c r="T107" s="20"/>
      <c r="U107" s="20" t="n">
        <f aca="false" t="array" ref="U107:U107">ROUND(AVERAGE(IF((ISNUMBER(U77:U106))*(U77:U106&lt;LARGE(U77:U106,2))*(U77:U106&gt;SMALL(U77:U106,2)),U77:U106)),0)</f>
        <v>4570788</v>
      </c>
      <c r="V107" s="20" t="n">
        <f aca="false" t="array" ref="V107:V107">ROUND(AVERAGE(IF((ISNUMBER(V77:V106))*(V77:V106&lt;LARGE(V77:V106,2))*(V77:V106&gt;SMALL(V77:V106,2)),V77:V106)),0)</f>
        <v>2606729</v>
      </c>
      <c r="W107" s="20" t="n">
        <f aca="false" t="array" ref="W107:W107">ROUND(AVERAGE(IF((ISNUMBER(W77:W106))*(W77:W106&lt;LARGE(W77:W106,2))*(W77:W106&gt;SMALL(W77:W106,2)),W77:W106)),0)</f>
        <v>1288404</v>
      </c>
      <c r="X107" s="20" t="n">
        <f aca="false" t="array" ref="X107:X107">ROUND(AVERAGE(IF((ISNUMBER(X77:X106))*(X77:X106&lt;LARGE(X77:X106,2))*(X77:X106&gt;SMALL(X77:X106,2)),X77:X106)),0)</f>
        <v>687697</v>
      </c>
      <c r="Y107" s="20" t="n">
        <f aca="false" t="array" ref="Y107:Y107">ROUND(AVERAGE(IF((ISNUMBER(Y77:Y106))*(Y77:Y106&lt;LARGE(Y77:Y106,2))*(Y77:Y106&gt;SMALL(Y77:Y106,2)),Y77:Y106)),0)</f>
        <v>694789</v>
      </c>
      <c r="Z107" s="20" t="n">
        <f aca="false" t="array" ref="Z107:Z107">ROUND(AVERAGE(IF((ISNUMBER(Z77:Z106))*(Z77:Z106&lt;LARGE(Z77:Z106,2))*(Z77:Z106&gt;SMALL(Z77:Z106,2)),Z77:Z106)),0)</f>
        <v>1135537</v>
      </c>
      <c r="AA107" s="20"/>
      <c r="AB107" s="20"/>
      <c r="AC107" s="20" t="n">
        <f aca="false" t="array" ref="AC107:AC107">ROUND(AVERAGE(IF((ISNUMBER(AC77:AC106))*(AC77:AC106&lt;LARGE(AC77:AC106,2))*(AC77:AC106&gt;SMALL(AC77:AC106,2)),AC77:AC106)),0)</f>
        <v>40465061</v>
      </c>
      <c r="AD107" s="20" t="n">
        <f aca="false" t="array" ref="AD107:AD107">ROUND(AVERAGE(IF((ISNUMBER(AD77:AD106))*(AD77:AD106&lt;LARGE(AD77:AD106,2))*(AD77:AD106&gt;SMALL(AD77:AD106,2)),AD77:AD106)),0)</f>
        <v>17410637</v>
      </c>
      <c r="AE107" s="20" t="n">
        <f aca="false" t="array" ref="AE107:AE107">ROUND(AVERAGE(IF((ISNUMBER(AE77:AE106))*(AE77:AE106&lt;LARGE(AE77:AE106,2))*(AE77:AE106&gt;SMALL(AE77:AE106,2)),AE77:AE106)),0)</f>
        <v>8157912</v>
      </c>
      <c r="AF107" s="20" t="n">
        <f aca="false" t="array" ref="AF107:AF107">ROUND(AVERAGE(IF((ISNUMBER(AF77:AF106))*(AF77:AF106&lt;LARGE(AF77:AF106,2))*(AF77:AF106&gt;SMALL(AF77:AF106,2)),AF77:AF106)),0)</f>
        <v>3991102</v>
      </c>
      <c r="AG107" s="20" t="n">
        <f aca="false" t="array" ref="AG107:AG107">ROUND(AVERAGE(IF((ISNUMBER(AG77:AG106))*(AG77:AG106&lt;LARGE(AG77:AG106,2))*(AG77:AG106&gt;SMALL(AG77:AG106,2)),AG77:AG106)),0)</f>
        <v>4624809</v>
      </c>
      <c r="AH107" s="21" t="n">
        <f aca="false" t="array" ref="AH107:AH107">ROUND(AVERAGE(IF((ISNUMBER(AH77:AH106))*(AH77:AH106&lt;LARGE(AH77:AH106,2))*(AH77:AH106&gt;SMALL(AH77:AH106,2)),AH77:AH106)),0)</f>
        <v>4707256</v>
      </c>
      <c r="AI107" s="8"/>
    </row>
    <row r="108" customFormat="false" ht="14.25" hidden="false" customHeight="false" outlineLevel="0" collapsed="false"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5"/>
    </row>
    <row r="109" customFormat="false" ht="14.25" hidden="false" customHeight="false" outlineLevel="0" collapsed="false">
      <c r="B109" s="26"/>
      <c r="C109" s="7"/>
      <c r="D109" s="1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customFormat="false" ht="33.85" hidden="false" customHeight="false" outlineLevel="0" collapsed="false">
      <c r="B110" s="1" t="s">
        <v>46</v>
      </c>
      <c r="C110" s="2"/>
      <c r="D110" s="2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4"/>
    </row>
    <row r="111" customFormat="false" ht="14.25" hidden="false" customHeight="false" outlineLevel="0" collapsed="false">
      <c r="B111" s="29"/>
      <c r="C111" s="6"/>
      <c r="D111" s="2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8"/>
    </row>
    <row r="112" customFormat="false" ht="14.25" hidden="false" customHeight="false" outlineLevel="0" collapsed="false">
      <c r="B112" s="30"/>
      <c r="C112" s="10" t="s">
        <v>1</v>
      </c>
      <c r="D112" s="11"/>
      <c r="E112" s="11" t="s">
        <v>2</v>
      </c>
      <c r="F112" s="11" t="s">
        <v>3</v>
      </c>
      <c r="G112" s="11" t="s">
        <v>4</v>
      </c>
      <c r="H112" s="11" t="s">
        <v>5</v>
      </c>
      <c r="I112" s="11" t="s">
        <v>6</v>
      </c>
      <c r="J112" s="11" t="s">
        <v>7</v>
      </c>
      <c r="K112" s="12" t="s">
        <v>8</v>
      </c>
      <c r="L112" s="12"/>
      <c r="M112" s="11" t="s">
        <v>2</v>
      </c>
      <c r="N112" s="11" t="s">
        <v>3</v>
      </c>
      <c r="O112" s="11" t="s">
        <v>4</v>
      </c>
      <c r="P112" s="11" t="s">
        <v>5</v>
      </c>
      <c r="Q112" s="11" t="s">
        <v>6</v>
      </c>
      <c r="R112" s="11" t="s">
        <v>7</v>
      </c>
      <c r="S112" s="12" t="s">
        <v>43</v>
      </c>
      <c r="T112" s="12"/>
      <c r="U112" s="11" t="s">
        <v>2</v>
      </c>
      <c r="V112" s="11" t="s">
        <v>3</v>
      </c>
      <c r="W112" s="11" t="s">
        <v>4</v>
      </c>
      <c r="X112" s="11" t="s">
        <v>5</v>
      </c>
      <c r="Y112" s="11" t="s">
        <v>6</v>
      </c>
      <c r="Z112" s="11" t="s">
        <v>7</v>
      </c>
      <c r="AA112" s="12" t="s">
        <v>10</v>
      </c>
      <c r="AB112" s="12"/>
      <c r="AC112" s="11" t="s">
        <v>2</v>
      </c>
      <c r="AD112" s="11" t="s">
        <v>3</v>
      </c>
      <c r="AE112" s="11" t="s">
        <v>4</v>
      </c>
      <c r="AF112" s="11" t="s">
        <v>5</v>
      </c>
      <c r="AG112" s="11" t="s">
        <v>6</v>
      </c>
      <c r="AH112" s="13" t="s">
        <v>7</v>
      </c>
      <c r="AI112" s="8"/>
    </row>
    <row r="113" customFormat="false" ht="16.4" hidden="false" customHeight="false" outlineLevel="0" collapsed="false">
      <c r="B113" s="30"/>
      <c r="C113" s="14"/>
      <c r="D113" s="15" t="s">
        <v>11</v>
      </c>
      <c r="E113" s="16" t="n">
        <v>84123</v>
      </c>
      <c r="F113" s="16" t="n">
        <v>47769</v>
      </c>
      <c r="G113" s="16" t="n">
        <v>31987</v>
      </c>
      <c r="H113" s="16" t="n">
        <v>17977</v>
      </c>
      <c r="I113" s="16" t="n">
        <v>17892</v>
      </c>
      <c r="J113" s="16" t="n">
        <v>9779</v>
      </c>
      <c r="K113" s="7"/>
      <c r="L113" s="7"/>
      <c r="M113" s="16" t="n">
        <v>802330</v>
      </c>
      <c r="N113" s="16" t="n">
        <v>479339</v>
      </c>
      <c r="O113" s="16" t="n">
        <v>363717</v>
      </c>
      <c r="P113" s="16" t="n">
        <v>151097</v>
      </c>
      <c r="Q113" s="16" t="n">
        <v>109432</v>
      </c>
      <c r="R113" s="16" t="n">
        <v>55230</v>
      </c>
      <c r="S113" s="7"/>
      <c r="T113" s="7"/>
      <c r="U113" s="16" t="n">
        <v>2566545</v>
      </c>
      <c r="V113" s="16" t="n">
        <v>1409329</v>
      </c>
      <c r="W113" s="16" t="n">
        <v>738289</v>
      </c>
      <c r="X113" s="16" t="n">
        <v>464337</v>
      </c>
      <c r="Y113" s="16" t="n">
        <v>415201</v>
      </c>
      <c r="Z113" s="16" t="n">
        <v>249114</v>
      </c>
      <c r="AA113" s="7"/>
      <c r="AB113" s="7"/>
      <c r="AC113" s="16" t="n">
        <v>6324973</v>
      </c>
      <c r="AD113" s="16" t="n">
        <v>3549554</v>
      </c>
      <c r="AE113" s="16" t="n">
        <v>1899300</v>
      </c>
      <c r="AF113" s="16" t="n">
        <v>1199970</v>
      </c>
      <c r="AG113" s="16" t="n">
        <v>1127034</v>
      </c>
      <c r="AH113" s="16" t="n">
        <v>676240</v>
      </c>
      <c r="AI113" s="8"/>
    </row>
    <row r="114" customFormat="false" ht="16.4" hidden="false" customHeight="false" outlineLevel="0" collapsed="false">
      <c r="B114" s="30"/>
      <c r="C114" s="14"/>
      <c r="D114" s="15" t="s">
        <v>12</v>
      </c>
      <c r="E114" s="16" t="n">
        <v>89220</v>
      </c>
      <c r="F114" s="16" t="n">
        <v>47223</v>
      </c>
      <c r="G114" s="16" t="n">
        <v>29250</v>
      </c>
      <c r="H114" s="16" t="n">
        <v>18151</v>
      </c>
      <c r="I114" s="16" t="n">
        <v>14554</v>
      </c>
      <c r="J114" s="16" t="n">
        <v>12798</v>
      </c>
      <c r="K114" s="7"/>
      <c r="L114" s="7"/>
      <c r="M114" s="16" t="n">
        <v>786517</v>
      </c>
      <c r="N114" s="16" t="n">
        <v>506485</v>
      </c>
      <c r="O114" s="16" t="n">
        <v>325538</v>
      </c>
      <c r="P114" s="16" t="n">
        <v>152650</v>
      </c>
      <c r="Q114" s="16" t="n">
        <v>110333</v>
      </c>
      <c r="R114" s="16" t="n">
        <v>52278</v>
      </c>
      <c r="S114" s="7"/>
      <c r="T114" s="7"/>
      <c r="U114" s="16" t="n">
        <v>2506782</v>
      </c>
      <c r="V114" s="16" t="n">
        <v>1404700</v>
      </c>
      <c r="W114" s="16" t="n">
        <v>794640</v>
      </c>
      <c r="X114" s="16" t="n">
        <v>428089</v>
      </c>
      <c r="Y114" s="16" t="n">
        <v>392566</v>
      </c>
      <c r="Z114" s="16" t="n">
        <v>235506</v>
      </c>
      <c r="AA114" s="7"/>
      <c r="AB114" s="7"/>
      <c r="AC114" s="16" t="n">
        <v>6580875</v>
      </c>
      <c r="AD114" s="16" t="n">
        <v>3572236</v>
      </c>
      <c r="AE114" s="16" t="n">
        <v>1937803</v>
      </c>
      <c r="AF114" s="16" t="n">
        <v>1189706</v>
      </c>
      <c r="AG114" s="16" t="n">
        <v>1184401</v>
      </c>
      <c r="AH114" s="16" t="n">
        <v>637619</v>
      </c>
      <c r="AI114" s="8"/>
    </row>
    <row r="115" customFormat="false" ht="16.4" hidden="false" customHeight="false" outlineLevel="0" collapsed="false">
      <c r="B115" s="30"/>
      <c r="C115" s="14"/>
      <c r="D115" s="15" t="s">
        <v>13</v>
      </c>
      <c r="E115" s="16" t="n">
        <v>83536</v>
      </c>
      <c r="F115" s="16" t="n">
        <v>49091</v>
      </c>
      <c r="G115" s="16" t="n">
        <v>28550</v>
      </c>
      <c r="H115" s="16" t="n">
        <v>17744</v>
      </c>
      <c r="I115" s="16" t="n">
        <v>13094</v>
      </c>
      <c r="J115" s="16" t="n">
        <v>12554</v>
      </c>
      <c r="K115" s="7"/>
      <c r="L115" s="7"/>
      <c r="M115" s="16" t="n">
        <v>816443</v>
      </c>
      <c r="N115" s="16" t="n">
        <v>424749</v>
      </c>
      <c r="O115" s="16" t="n">
        <v>302344</v>
      </c>
      <c r="P115" s="16" t="n">
        <v>154099</v>
      </c>
      <c r="Q115" s="16" t="n">
        <v>112467</v>
      </c>
      <c r="R115" s="16" t="n">
        <v>52593</v>
      </c>
      <c r="S115" s="7"/>
      <c r="T115" s="7"/>
      <c r="U115" s="16" t="n">
        <v>2501716</v>
      </c>
      <c r="V115" s="16" t="n">
        <v>1377436</v>
      </c>
      <c r="W115" s="16" t="n">
        <v>742820</v>
      </c>
      <c r="X115" s="16" t="n">
        <v>433447</v>
      </c>
      <c r="Y115" s="16" t="n">
        <v>401982</v>
      </c>
      <c r="Z115" s="16" t="n">
        <v>223759</v>
      </c>
      <c r="AA115" s="7"/>
      <c r="AB115" s="7"/>
      <c r="AC115" s="16" t="n">
        <v>6333433</v>
      </c>
      <c r="AD115" s="16" t="n">
        <v>3688611</v>
      </c>
      <c r="AE115" s="16" t="n">
        <v>1968631</v>
      </c>
      <c r="AF115" s="16" t="n">
        <v>1192021</v>
      </c>
      <c r="AG115" s="16" t="n">
        <v>1176937</v>
      </c>
      <c r="AH115" s="16" t="n">
        <v>709864</v>
      </c>
      <c r="AI115" s="8"/>
    </row>
    <row r="116" customFormat="false" ht="16.4" hidden="false" customHeight="false" outlineLevel="0" collapsed="false">
      <c r="B116" s="30"/>
      <c r="C116" s="14"/>
      <c r="D116" s="15" t="s">
        <v>14</v>
      </c>
      <c r="E116" s="16" t="n">
        <v>88090</v>
      </c>
      <c r="F116" s="16" t="n">
        <v>45628</v>
      </c>
      <c r="G116" s="16" t="n">
        <v>25847</v>
      </c>
      <c r="H116" s="16" t="n">
        <v>15377</v>
      </c>
      <c r="I116" s="16" t="n">
        <v>16807</v>
      </c>
      <c r="J116" s="16" t="n">
        <v>10379</v>
      </c>
      <c r="K116" s="7"/>
      <c r="L116" s="7"/>
      <c r="M116" s="16" t="n">
        <v>775098</v>
      </c>
      <c r="N116" s="16" t="n">
        <v>462579</v>
      </c>
      <c r="O116" s="16" t="n">
        <v>280624</v>
      </c>
      <c r="P116" s="16" t="n">
        <v>153911</v>
      </c>
      <c r="Q116" s="16" t="n">
        <v>113019</v>
      </c>
      <c r="R116" s="16" t="n">
        <v>52979</v>
      </c>
      <c r="S116" s="7"/>
      <c r="T116" s="7"/>
      <c r="U116" s="16" t="n">
        <v>2718374</v>
      </c>
      <c r="V116" s="16" t="n">
        <v>1407479</v>
      </c>
      <c r="W116" s="16" t="n">
        <v>788495</v>
      </c>
      <c r="X116" s="16" t="n">
        <v>441677</v>
      </c>
      <c r="Y116" s="16" t="n">
        <v>412599</v>
      </c>
      <c r="Z116" s="16" t="n">
        <v>226330</v>
      </c>
      <c r="AA116" s="7"/>
      <c r="AB116" s="7"/>
      <c r="AC116" s="16" t="n">
        <v>6442857</v>
      </c>
      <c r="AD116" s="16" t="n">
        <v>3534243</v>
      </c>
      <c r="AE116" s="16" t="n">
        <v>1974852</v>
      </c>
      <c r="AF116" s="16" t="n">
        <v>1221361</v>
      </c>
      <c r="AG116" s="16" t="n">
        <v>1182513</v>
      </c>
      <c r="AH116" s="16" t="n">
        <v>690746</v>
      </c>
      <c r="AI116" s="8"/>
    </row>
    <row r="117" customFormat="false" ht="16.4" hidden="false" customHeight="false" outlineLevel="0" collapsed="false">
      <c r="B117" s="30"/>
      <c r="C117" s="14"/>
      <c r="D117" s="15" t="s">
        <v>15</v>
      </c>
      <c r="E117" s="16" t="n">
        <v>86455</v>
      </c>
      <c r="F117" s="16" t="n">
        <v>46877</v>
      </c>
      <c r="G117" s="16" t="n">
        <v>23890</v>
      </c>
      <c r="H117" s="16" t="n">
        <v>17570</v>
      </c>
      <c r="I117" s="16" t="n">
        <v>13594</v>
      </c>
      <c r="J117" s="16" t="n">
        <v>9694</v>
      </c>
      <c r="K117" s="7"/>
      <c r="L117" s="7"/>
      <c r="M117" s="16" t="n">
        <v>799434</v>
      </c>
      <c r="N117" s="16" t="n">
        <v>431190</v>
      </c>
      <c r="O117" s="16" t="n">
        <v>281123</v>
      </c>
      <c r="P117" s="16" t="n">
        <v>154327</v>
      </c>
      <c r="Q117" s="16" t="n">
        <v>110129</v>
      </c>
      <c r="R117" s="16" t="n">
        <v>54546</v>
      </c>
      <c r="S117" s="7"/>
      <c r="T117" s="7"/>
      <c r="U117" s="16" t="n">
        <v>2627976</v>
      </c>
      <c r="V117" s="16" t="n">
        <v>1444884</v>
      </c>
      <c r="W117" s="16" t="n">
        <v>770218</v>
      </c>
      <c r="X117" s="16" t="n">
        <v>453768</v>
      </c>
      <c r="Y117" s="16" t="n">
        <v>408975</v>
      </c>
      <c r="Z117" s="16" t="n">
        <v>214603</v>
      </c>
      <c r="AA117" s="7"/>
      <c r="AB117" s="7"/>
      <c r="AC117" s="16" t="n">
        <v>6355380</v>
      </c>
      <c r="AD117" s="16" t="n">
        <v>3569116</v>
      </c>
      <c r="AE117" s="16" t="n">
        <v>1988016</v>
      </c>
      <c r="AF117" s="16" t="n">
        <v>1204767</v>
      </c>
      <c r="AG117" s="16" t="n">
        <v>1134274</v>
      </c>
      <c r="AH117" s="16" t="n">
        <v>676441</v>
      </c>
      <c r="AI117" s="8"/>
    </row>
    <row r="118" customFormat="false" ht="16.4" hidden="false" customHeight="false" outlineLevel="0" collapsed="false">
      <c r="B118" s="30"/>
      <c r="C118" s="14"/>
      <c r="D118" s="15" t="s">
        <v>16</v>
      </c>
      <c r="E118" s="16" t="n">
        <v>83983</v>
      </c>
      <c r="F118" s="16" t="n">
        <v>48211</v>
      </c>
      <c r="G118" s="16" t="n">
        <v>27364</v>
      </c>
      <c r="H118" s="16" t="n">
        <v>19153</v>
      </c>
      <c r="I118" s="16" t="n">
        <v>13735</v>
      </c>
      <c r="J118" s="16" t="n">
        <v>9737</v>
      </c>
      <c r="K118" s="7"/>
      <c r="L118" s="7"/>
      <c r="M118" s="16" t="n">
        <v>825274</v>
      </c>
      <c r="N118" s="16" t="n">
        <v>431625</v>
      </c>
      <c r="O118" s="16" t="n">
        <v>325178</v>
      </c>
      <c r="P118" s="16" t="n">
        <v>152496</v>
      </c>
      <c r="Q118" s="16" t="n">
        <v>111026</v>
      </c>
      <c r="R118" s="16" t="n">
        <v>53267</v>
      </c>
      <c r="S118" s="7"/>
      <c r="T118" s="7"/>
      <c r="U118" s="16" t="n">
        <v>2533090</v>
      </c>
      <c r="V118" s="16" t="n">
        <v>1493866</v>
      </c>
      <c r="W118" s="16" t="n">
        <v>741989</v>
      </c>
      <c r="X118" s="16" t="n">
        <v>446393</v>
      </c>
      <c r="Y118" s="16" t="n">
        <v>424481</v>
      </c>
      <c r="Z118" s="16" t="n">
        <v>222755</v>
      </c>
      <c r="AA118" s="7"/>
      <c r="AB118" s="7"/>
      <c r="AC118" s="16" t="n">
        <v>6319799</v>
      </c>
      <c r="AD118" s="16" t="n">
        <v>3530227</v>
      </c>
      <c r="AE118" s="16" t="n">
        <v>1839349</v>
      </c>
      <c r="AF118" s="16" t="n">
        <v>1198259</v>
      </c>
      <c r="AG118" s="16" t="n">
        <v>1144463</v>
      </c>
      <c r="AH118" s="16" t="n">
        <v>627760</v>
      </c>
      <c r="AI118" s="8"/>
    </row>
    <row r="119" customFormat="false" ht="16.4" hidden="false" customHeight="false" outlineLevel="0" collapsed="false">
      <c r="B119" s="30"/>
      <c r="C119" s="14"/>
      <c r="D119" s="15" t="s">
        <v>17</v>
      </c>
      <c r="E119" s="16" t="n">
        <v>85804</v>
      </c>
      <c r="F119" s="16" t="n">
        <v>50527</v>
      </c>
      <c r="G119" s="16" t="n">
        <v>28741</v>
      </c>
      <c r="H119" s="16" t="n">
        <v>16117</v>
      </c>
      <c r="I119" s="16" t="n">
        <v>14531</v>
      </c>
      <c r="J119" s="16" t="n">
        <v>9820</v>
      </c>
      <c r="K119" s="7"/>
      <c r="L119" s="7"/>
      <c r="M119" s="16" t="n">
        <v>804990</v>
      </c>
      <c r="N119" s="16" t="n">
        <v>439489</v>
      </c>
      <c r="O119" s="16" t="n">
        <v>333304</v>
      </c>
      <c r="P119" s="16" t="n">
        <v>155736</v>
      </c>
      <c r="Q119" s="16" t="n">
        <v>121688</v>
      </c>
      <c r="R119" s="16" t="n">
        <v>55714</v>
      </c>
      <c r="S119" s="7"/>
      <c r="T119" s="7"/>
      <c r="U119" s="16" t="n">
        <v>2675263</v>
      </c>
      <c r="V119" s="16" t="n">
        <v>1494872</v>
      </c>
      <c r="W119" s="16" t="n">
        <v>690399</v>
      </c>
      <c r="X119" s="16" t="n">
        <v>446321</v>
      </c>
      <c r="Y119" s="16" t="n">
        <v>415096</v>
      </c>
      <c r="Z119" s="16" t="n">
        <v>234011</v>
      </c>
      <c r="AA119" s="7"/>
      <c r="AB119" s="7"/>
      <c r="AC119" s="16" t="n">
        <v>6423244</v>
      </c>
      <c r="AD119" s="16" t="n">
        <v>3654329</v>
      </c>
      <c r="AE119" s="16" t="n">
        <v>1862401</v>
      </c>
      <c r="AF119" s="16" t="n">
        <v>1215379</v>
      </c>
      <c r="AG119" s="16" t="n">
        <v>1185337</v>
      </c>
      <c r="AH119" s="16" t="n">
        <v>710050</v>
      </c>
      <c r="AI119" s="8"/>
    </row>
    <row r="120" customFormat="false" ht="16.4" hidden="false" customHeight="false" outlineLevel="0" collapsed="false">
      <c r="B120" s="30"/>
      <c r="C120" s="14"/>
      <c r="D120" s="15" t="s">
        <v>18</v>
      </c>
      <c r="E120" s="16" t="n">
        <v>83264</v>
      </c>
      <c r="F120" s="16" t="n">
        <v>49990</v>
      </c>
      <c r="G120" s="16" t="n">
        <v>27547</v>
      </c>
      <c r="H120" s="16" t="n">
        <v>18874</v>
      </c>
      <c r="I120" s="16" t="n">
        <v>14172</v>
      </c>
      <c r="J120" s="16" t="n">
        <v>9775</v>
      </c>
      <c r="K120" s="7"/>
      <c r="L120" s="7"/>
      <c r="M120" s="16" t="n">
        <v>800266</v>
      </c>
      <c r="N120" s="16" t="n">
        <v>454540</v>
      </c>
      <c r="O120" s="16" t="n">
        <v>287176</v>
      </c>
      <c r="P120" s="16" t="n">
        <v>154906</v>
      </c>
      <c r="Q120" s="16" t="n">
        <v>107483</v>
      </c>
      <c r="R120" s="16" t="n">
        <v>52377</v>
      </c>
      <c r="S120" s="7"/>
      <c r="T120" s="7"/>
      <c r="U120" s="16" t="n">
        <v>2494497</v>
      </c>
      <c r="V120" s="16" t="n">
        <v>1461933</v>
      </c>
      <c r="W120" s="16" t="n">
        <v>772378</v>
      </c>
      <c r="X120" s="16" t="n">
        <v>445334</v>
      </c>
      <c r="Y120" s="16" t="n">
        <v>410329</v>
      </c>
      <c r="Z120" s="16" t="n">
        <v>216891</v>
      </c>
      <c r="AA120" s="7"/>
      <c r="AB120" s="7"/>
      <c r="AC120" s="16" t="n">
        <v>6584079</v>
      </c>
      <c r="AD120" s="16" t="n">
        <v>3534869</v>
      </c>
      <c r="AE120" s="16" t="n">
        <v>1850106</v>
      </c>
      <c r="AF120" s="16" t="n">
        <v>1199105</v>
      </c>
      <c r="AG120" s="16" t="n">
        <v>1141847</v>
      </c>
      <c r="AH120" s="16" t="n">
        <v>705360</v>
      </c>
      <c r="AI120" s="8"/>
    </row>
    <row r="121" customFormat="false" ht="16.4" hidden="false" customHeight="false" outlineLevel="0" collapsed="false">
      <c r="B121" s="30"/>
      <c r="C121" s="14"/>
      <c r="D121" s="15" t="s">
        <v>19</v>
      </c>
      <c r="E121" s="16" t="n">
        <v>85664</v>
      </c>
      <c r="F121" s="16" t="n">
        <v>47891</v>
      </c>
      <c r="G121" s="16" t="n">
        <v>28777</v>
      </c>
      <c r="H121" s="16" t="n">
        <v>17454</v>
      </c>
      <c r="I121" s="16" t="n">
        <v>16989</v>
      </c>
      <c r="J121" s="16" t="n">
        <v>9735</v>
      </c>
      <c r="K121" s="7"/>
      <c r="L121" s="7"/>
      <c r="M121" s="16" t="n">
        <v>815795</v>
      </c>
      <c r="N121" s="16" t="n">
        <v>440201</v>
      </c>
      <c r="O121" s="16" t="n">
        <v>262849</v>
      </c>
      <c r="P121" s="16" t="n">
        <v>152548</v>
      </c>
      <c r="Q121" s="16" t="n">
        <v>122205</v>
      </c>
      <c r="R121" s="16" t="n">
        <v>53013</v>
      </c>
      <c r="S121" s="7"/>
      <c r="T121" s="7"/>
      <c r="U121" s="16" t="n">
        <v>2486116</v>
      </c>
      <c r="V121" s="16" t="n">
        <v>1472945</v>
      </c>
      <c r="W121" s="16" t="n">
        <v>742434</v>
      </c>
      <c r="X121" s="16" t="n">
        <v>457083</v>
      </c>
      <c r="Y121" s="16" t="n">
        <v>395236</v>
      </c>
      <c r="Z121" s="16" t="n">
        <v>225805</v>
      </c>
      <c r="AA121" s="7"/>
      <c r="AB121" s="7"/>
      <c r="AC121" s="16" t="n">
        <v>6409766</v>
      </c>
      <c r="AD121" s="16" t="n">
        <v>3633355</v>
      </c>
      <c r="AE121" s="16" t="n">
        <v>1834393</v>
      </c>
      <c r="AF121" s="16" t="n">
        <v>1199794</v>
      </c>
      <c r="AG121" s="16" t="n">
        <v>1112272</v>
      </c>
      <c r="AH121" s="16" t="n">
        <v>699813</v>
      </c>
      <c r="AI121" s="8"/>
    </row>
    <row r="122" customFormat="false" ht="16.4" hidden="false" customHeight="false" outlineLevel="0" collapsed="false">
      <c r="B122" s="30"/>
      <c r="C122" s="14"/>
      <c r="D122" s="15" t="s">
        <v>20</v>
      </c>
      <c r="E122" s="16" t="n">
        <v>85922</v>
      </c>
      <c r="F122" s="16" t="n">
        <v>49148</v>
      </c>
      <c r="G122" s="16" t="n">
        <v>26382</v>
      </c>
      <c r="H122" s="16" t="n">
        <v>17623</v>
      </c>
      <c r="I122" s="16" t="n">
        <v>17327</v>
      </c>
      <c r="J122" s="16" t="n">
        <v>9832</v>
      </c>
      <c r="K122" s="7"/>
      <c r="L122" s="7"/>
      <c r="M122" s="16" t="n">
        <v>828756</v>
      </c>
      <c r="N122" s="16" t="n">
        <v>412641</v>
      </c>
      <c r="O122" s="16" t="n">
        <v>286457</v>
      </c>
      <c r="P122" s="16" t="n">
        <v>115756</v>
      </c>
      <c r="Q122" s="16" t="n">
        <v>108791</v>
      </c>
      <c r="R122" s="16" t="n">
        <v>52579</v>
      </c>
      <c r="S122" s="7"/>
      <c r="T122" s="7"/>
      <c r="U122" s="16" t="n">
        <v>2490654</v>
      </c>
      <c r="V122" s="16" t="n">
        <v>1463254</v>
      </c>
      <c r="W122" s="16" t="n">
        <v>742041</v>
      </c>
      <c r="X122" s="16" t="n">
        <v>448386</v>
      </c>
      <c r="Y122" s="16" t="n">
        <v>423441</v>
      </c>
      <c r="Z122" s="16" t="n">
        <v>222808</v>
      </c>
      <c r="AA122" s="7"/>
      <c r="AB122" s="7"/>
      <c r="AC122" s="16" t="n">
        <v>6350084</v>
      </c>
      <c r="AD122" s="16" t="n">
        <v>3850967</v>
      </c>
      <c r="AE122" s="16" t="n">
        <v>1890537</v>
      </c>
      <c r="AF122" s="16" t="n">
        <v>1172074</v>
      </c>
      <c r="AG122" s="16" t="n">
        <v>1136139</v>
      </c>
      <c r="AH122" s="16" t="n">
        <v>653233</v>
      </c>
      <c r="AI122" s="8"/>
    </row>
    <row r="123" customFormat="false" ht="16.4" hidden="false" customHeight="false" outlineLevel="0" collapsed="false">
      <c r="B123" s="30"/>
      <c r="C123" s="14"/>
      <c r="D123" s="15" t="s">
        <v>21</v>
      </c>
      <c r="E123" s="16" t="n">
        <v>87368</v>
      </c>
      <c r="F123" s="16" t="n">
        <v>45763</v>
      </c>
      <c r="G123" s="16" t="n">
        <v>24629</v>
      </c>
      <c r="H123" s="16" t="n">
        <v>24308</v>
      </c>
      <c r="I123" s="16" t="n">
        <v>15242</v>
      </c>
      <c r="J123" s="16" t="n">
        <v>9584</v>
      </c>
      <c r="K123" s="7"/>
      <c r="L123" s="7"/>
      <c r="M123" s="16" t="n">
        <v>836726</v>
      </c>
      <c r="N123" s="16" t="n">
        <v>429310</v>
      </c>
      <c r="O123" s="16" t="n">
        <v>260187</v>
      </c>
      <c r="P123" s="16" t="n">
        <v>153562</v>
      </c>
      <c r="Q123" s="16" t="n">
        <v>109030</v>
      </c>
      <c r="R123" s="16" t="n">
        <v>52539</v>
      </c>
      <c r="S123" s="7"/>
      <c r="T123" s="7"/>
      <c r="U123" s="16" t="n">
        <v>2495922</v>
      </c>
      <c r="V123" s="16" t="n">
        <v>1484774</v>
      </c>
      <c r="W123" s="16" t="n">
        <v>749022</v>
      </c>
      <c r="X123" s="16" t="n">
        <v>428335</v>
      </c>
      <c r="Y123" s="16" t="n">
        <v>395824</v>
      </c>
      <c r="Z123" s="16" t="n">
        <v>223092</v>
      </c>
      <c r="AA123" s="7"/>
      <c r="AB123" s="7"/>
      <c r="AC123" s="16" t="n">
        <v>6419475</v>
      </c>
      <c r="AD123" s="16" t="n">
        <v>3547493</v>
      </c>
      <c r="AE123" s="16" t="n">
        <v>2069844</v>
      </c>
      <c r="AF123" s="16" t="n">
        <v>1202998</v>
      </c>
      <c r="AG123" s="16" t="n">
        <v>1159936</v>
      </c>
      <c r="AH123" s="16" t="n">
        <v>694274</v>
      </c>
      <c r="AI123" s="8"/>
    </row>
    <row r="124" customFormat="false" ht="16.4" hidden="false" customHeight="false" outlineLevel="0" collapsed="false">
      <c r="B124" s="30"/>
      <c r="C124" s="14"/>
      <c r="D124" s="15" t="s">
        <v>22</v>
      </c>
      <c r="E124" s="16" t="n">
        <v>86074</v>
      </c>
      <c r="F124" s="16" t="n">
        <v>58376</v>
      </c>
      <c r="G124" s="16" t="n">
        <v>26963</v>
      </c>
      <c r="H124" s="16" t="n">
        <v>18623</v>
      </c>
      <c r="I124" s="16" t="n">
        <v>14655</v>
      </c>
      <c r="J124" s="16" t="n">
        <v>10120</v>
      </c>
      <c r="K124" s="7"/>
      <c r="L124" s="7"/>
      <c r="M124" s="16" t="n">
        <v>823840</v>
      </c>
      <c r="N124" s="16" t="n">
        <v>422101</v>
      </c>
      <c r="O124" s="16" t="n">
        <v>264190</v>
      </c>
      <c r="P124" s="16" t="n">
        <v>153813</v>
      </c>
      <c r="Q124" s="16" t="n">
        <v>112042</v>
      </c>
      <c r="R124" s="16" t="n">
        <v>55508</v>
      </c>
      <c r="S124" s="7"/>
      <c r="T124" s="7"/>
      <c r="U124" s="16" t="n">
        <v>2486122</v>
      </c>
      <c r="V124" s="16" t="n">
        <v>1467651</v>
      </c>
      <c r="W124" s="16" t="n">
        <v>758600</v>
      </c>
      <c r="X124" s="16" t="n">
        <v>452128</v>
      </c>
      <c r="Y124" s="16" t="n">
        <v>412482</v>
      </c>
      <c r="Z124" s="16" t="n">
        <v>235888</v>
      </c>
      <c r="AA124" s="7"/>
      <c r="AB124" s="7"/>
      <c r="AC124" s="16" t="n">
        <v>6653153</v>
      </c>
      <c r="AD124" s="16" t="n">
        <v>3797608</v>
      </c>
      <c r="AE124" s="16" t="n">
        <v>1916829</v>
      </c>
      <c r="AF124" s="16" t="n">
        <v>1214984</v>
      </c>
      <c r="AG124" s="16" t="n">
        <v>1175467</v>
      </c>
      <c r="AH124" s="16" t="n">
        <v>697826</v>
      </c>
      <c r="AI124" s="8"/>
    </row>
    <row r="125" customFormat="false" ht="16.4" hidden="false" customHeight="false" outlineLevel="0" collapsed="false">
      <c r="B125" s="30"/>
      <c r="C125" s="14"/>
      <c r="D125" s="15" t="s">
        <v>23</v>
      </c>
      <c r="E125" s="16" t="n">
        <v>88611</v>
      </c>
      <c r="F125" s="16" t="n">
        <v>45995</v>
      </c>
      <c r="G125" s="16" t="n">
        <v>34212</v>
      </c>
      <c r="H125" s="16" t="n">
        <v>23056</v>
      </c>
      <c r="I125" s="16" t="n">
        <v>14166</v>
      </c>
      <c r="J125" s="16" t="n">
        <v>11276</v>
      </c>
      <c r="K125" s="7"/>
      <c r="L125" s="7"/>
      <c r="M125" s="16" t="n">
        <v>829779</v>
      </c>
      <c r="N125" s="16" t="n">
        <v>434347</v>
      </c>
      <c r="O125" s="16" t="n">
        <v>340505</v>
      </c>
      <c r="P125" s="16" t="n">
        <v>153812</v>
      </c>
      <c r="Q125" s="16" t="n">
        <v>105074</v>
      </c>
      <c r="R125" s="16" t="n">
        <v>52124</v>
      </c>
      <c r="S125" s="7"/>
      <c r="T125" s="7"/>
      <c r="U125" s="16" t="n">
        <v>2814769</v>
      </c>
      <c r="V125" s="16" t="n">
        <v>1482238</v>
      </c>
      <c r="W125" s="16" t="n">
        <v>763551</v>
      </c>
      <c r="X125" s="16" t="n">
        <v>428707</v>
      </c>
      <c r="Y125" s="16" t="n">
        <v>409781</v>
      </c>
      <c r="Z125" s="16" t="n">
        <v>235324</v>
      </c>
      <c r="AA125" s="7"/>
      <c r="AB125" s="7"/>
      <c r="AC125" s="16" t="n">
        <v>6388730</v>
      </c>
      <c r="AD125" s="16" t="n">
        <v>3584870</v>
      </c>
      <c r="AE125" s="16" t="n">
        <v>1869557</v>
      </c>
      <c r="AF125" s="16" t="n">
        <v>1207033</v>
      </c>
      <c r="AG125" s="16" t="n">
        <v>1179100</v>
      </c>
      <c r="AH125" s="16" t="n">
        <v>668496</v>
      </c>
      <c r="AI125" s="8"/>
    </row>
    <row r="126" customFormat="false" ht="16.4" hidden="false" customHeight="false" outlineLevel="0" collapsed="false">
      <c r="B126" s="30"/>
      <c r="C126" s="14"/>
      <c r="D126" s="15" t="s">
        <v>24</v>
      </c>
      <c r="E126" s="16" t="n">
        <v>87227</v>
      </c>
      <c r="F126" s="16" t="n">
        <v>45896</v>
      </c>
      <c r="G126" s="16" t="n">
        <v>25193</v>
      </c>
      <c r="H126" s="16" t="n">
        <v>17863</v>
      </c>
      <c r="I126" s="16" t="n">
        <v>14325</v>
      </c>
      <c r="J126" s="16" t="n">
        <v>9656</v>
      </c>
      <c r="K126" s="7"/>
      <c r="L126" s="7"/>
      <c r="M126" s="16" t="n">
        <v>817788</v>
      </c>
      <c r="N126" s="16" t="n">
        <v>446544</v>
      </c>
      <c r="O126" s="16" t="n">
        <v>287961</v>
      </c>
      <c r="P126" s="16" t="n">
        <v>152688</v>
      </c>
      <c r="Q126" s="16" t="n">
        <v>105707</v>
      </c>
      <c r="R126" s="16" t="n">
        <v>52459</v>
      </c>
      <c r="S126" s="7"/>
      <c r="T126" s="7"/>
      <c r="U126" s="16" t="n">
        <v>2584873</v>
      </c>
      <c r="V126" s="16" t="n">
        <v>1495965</v>
      </c>
      <c r="W126" s="16" t="n">
        <v>780400</v>
      </c>
      <c r="X126" s="16" t="n">
        <v>456514</v>
      </c>
      <c r="Y126" s="16" t="n">
        <v>416334</v>
      </c>
      <c r="Z126" s="16" t="n">
        <v>225683</v>
      </c>
      <c r="AA126" s="7"/>
      <c r="AB126" s="7"/>
      <c r="AC126" s="16" t="n">
        <v>6430333</v>
      </c>
      <c r="AD126" s="16" t="n">
        <v>3706275</v>
      </c>
      <c r="AE126" s="16" t="n">
        <v>1994205</v>
      </c>
      <c r="AF126" s="16" t="n">
        <v>1193207</v>
      </c>
      <c r="AG126" s="16" t="n">
        <v>1144571</v>
      </c>
      <c r="AH126" s="16" t="n">
        <v>698875</v>
      </c>
      <c r="AI126" s="8"/>
    </row>
    <row r="127" customFormat="false" ht="16.4" hidden="false" customHeight="false" outlineLevel="0" collapsed="false">
      <c r="B127" s="30"/>
      <c r="C127" s="14"/>
      <c r="D127" s="15" t="s">
        <v>25</v>
      </c>
      <c r="E127" s="16" t="n">
        <v>85635</v>
      </c>
      <c r="F127" s="16" t="n">
        <v>47244</v>
      </c>
      <c r="G127" s="16" t="n">
        <v>26158</v>
      </c>
      <c r="H127" s="16" t="n">
        <v>18054</v>
      </c>
      <c r="I127" s="16" t="n">
        <v>17421</v>
      </c>
      <c r="J127" s="16" t="n">
        <v>9564</v>
      </c>
      <c r="K127" s="7"/>
      <c r="L127" s="7"/>
      <c r="M127" s="16" t="n">
        <v>833125</v>
      </c>
      <c r="N127" s="16" t="n">
        <v>429473</v>
      </c>
      <c r="O127" s="16" t="n">
        <v>212835</v>
      </c>
      <c r="P127" s="16" t="n">
        <v>152167</v>
      </c>
      <c r="Q127" s="16" t="n">
        <v>116446</v>
      </c>
      <c r="R127" s="16" t="n">
        <v>65096</v>
      </c>
      <c r="S127" s="7"/>
      <c r="T127" s="7"/>
      <c r="U127" s="16" t="n">
        <v>2489062</v>
      </c>
      <c r="V127" s="16" t="n">
        <v>1399957</v>
      </c>
      <c r="W127" s="16" t="n">
        <v>772246</v>
      </c>
      <c r="X127" s="16" t="n">
        <v>454236</v>
      </c>
      <c r="Y127" s="16" t="n">
        <v>410124</v>
      </c>
      <c r="Z127" s="16" t="n">
        <v>232919</v>
      </c>
      <c r="AA127" s="7"/>
      <c r="AB127" s="7"/>
      <c r="AC127" s="16" t="n">
        <v>6521369</v>
      </c>
      <c r="AD127" s="16" t="n">
        <v>3532362</v>
      </c>
      <c r="AE127" s="16" t="n">
        <v>1894740</v>
      </c>
      <c r="AF127" s="16" t="n">
        <v>1220117</v>
      </c>
      <c r="AG127" s="16" t="n">
        <v>1171150</v>
      </c>
      <c r="AH127" s="16" t="n">
        <v>720947</v>
      </c>
      <c r="AI127" s="8"/>
    </row>
    <row r="128" customFormat="false" ht="16.4" hidden="false" customHeight="false" outlineLevel="0" collapsed="false">
      <c r="B128" s="30"/>
      <c r="C128" s="14"/>
      <c r="D128" s="15" t="s">
        <v>26</v>
      </c>
      <c r="E128" s="16" t="n">
        <v>86260</v>
      </c>
      <c r="F128" s="16" t="n">
        <v>49941</v>
      </c>
      <c r="G128" s="16" t="n">
        <v>24822</v>
      </c>
      <c r="H128" s="16" t="n">
        <v>17468</v>
      </c>
      <c r="I128" s="16" t="n">
        <v>14983</v>
      </c>
      <c r="J128" s="16" t="n">
        <v>9871</v>
      </c>
      <c r="K128" s="7"/>
      <c r="L128" s="7"/>
      <c r="M128" s="16" t="n">
        <v>843850</v>
      </c>
      <c r="N128" s="16" t="n">
        <v>431923</v>
      </c>
      <c r="O128" s="16" t="n">
        <v>205835</v>
      </c>
      <c r="P128" s="16" t="n">
        <v>152072</v>
      </c>
      <c r="Q128" s="16" t="n">
        <v>109852</v>
      </c>
      <c r="R128" s="16" t="n">
        <v>53055</v>
      </c>
      <c r="S128" s="7"/>
      <c r="T128" s="7"/>
      <c r="U128" s="16" t="n">
        <v>2503374</v>
      </c>
      <c r="V128" s="16" t="n">
        <v>1344763</v>
      </c>
      <c r="W128" s="16" t="n">
        <v>742298</v>
      </c>
      <c r="X128" s="16" t="n">
        <v>460266</v>
      </c>
      <c r="Y128" s="16" t="n">
        <v>413717</v>
      </c>
      <c r="Z128" s="16" t="n">
        <v>222500</v>
      </c>
      <c r="AA128" s="7"/>
      <c r="AB128" s="7"/>
      <c r="AC128" s="16" t="n">
        <v>6342004</v>
      </c>
      <c r="AD128" s="16" t="n">
        <v>3679735</v>
      </c>
      <c r="AE128" s="16" t="n">
        <v>2014018</v>
      </c>
      <c r="AF128" s="16" t="n">
        <v>1215470</v>
      </c>
      <c r="AG128" s="16" t="n">
        <v>1168437</v>
      </c>
      <c r="AH128" s="16" t="n">
        <v>671674</v>
      </c>
      <c r="AI128" s="8"/>
    </row>
    <row r="129" customFormat="false" ht="16.4" hidden="false" customHeight="false" outlineLevel="0" collapsed="false">
      <c r="B129" s="30"/>
      <c r="C129" s="14"/>
      <c r="D129" s="15" t="s">
        <v>27</v>
      </c>
      <c r="E129" s="16" t="n">
        <v>88103</v>
      </c>
      <c r="F129" s="16" t="n">
        <v>46688</v>
      </c>
      <c r="G129" s="16" t="n">
        <v>28109</v>
      </c>
      <c r="H129" s="16" t="n">
        <v>13820</v>
      </c>
      <c r="I129" s="16" t="n">
        <v>17985</v>
      </c>
      <c r="J129" s="16" t="n">
        <v>10078</v>
      </c>
      <c r="K129" s="7"/>
      <c r="L129" s="7"/>
      <c r="M129" s="16" t="n">
        <v>825248</v>
      </c>
      <c r="N129" s="16" t="n">
        <v>454062</v>
      </c>
      <c r="O129" s="16" t="n">
        <v>209186</v>
      </c>
      <c r="P129" s="16" t="n">
        <v>152139</v>
      </c>
      <c r="Q129" s="16" t="n">
        <v>113141</v>
      </c>
      <c r="R129" s="16" t="n">
        <v>55632</v>
      </c>
      <c r="S129" s="7"/>
      <c r="T129" s="7"/>
      <c r="U129" s="16" t="n">
        <v>2688060</v>
      </c>
      <c r="V129" s="16" t="n">
        <v>1442509</v>
      </c>
      <c r="W129" s="16" t="n">
        <v>688197</v>
      </c>
      <c r="X129" s="16" t="n">
        <v>428823</v>
      </c>
      <c r="Y129" s="16" t="n">
        <v>404960</v>
      </c>
      <c r="Z129" s="16" t="n">
        <v>239676</v>
      </c>
      <c r="AA129" s="7"/>
      <c r="AB129" s="7"/>
      <c r="AC129" s="16" t="n">
        <v>6552631</v>
      </c>
      <c r="AD129" s="16" t="n">
        <v>3530318</v>
      </c>
      <c r="AE129" s="16" t="n">
        <v>1855046</v>
      </c>
      <c r="AF129" s="16" t="n">
        <v>1191456</v>
      </c>
      <c r="AG129" s="16" t="n">
        <v>1134988</v>
      </c>
      <c r="AH129" s="16" t="n">
        <v>686695</v>
      </c>
      <c r="AI129" s="8"/>
    </row>
    <row r="130" customFormat="false" ht="16.4" hidden="false" customHeight="false" outlineLevel="0" collapsed="false">
      <c r="B130" s="30"/>
      <c r="C130" s="14"/>
      <c r="D130" s="15" t="s">
        <v>28</v>
      </c>
      <c r="E130" s="16" t="n">
        <v>83765</v>
      </c>
      <c r="F130" s="16" t="n">
        <v>49287</v>
      </c>
      <c r="G130" s="16" t="n">
        <v>28631</v>
      </c>
      <c r="H130" s="16" t="n">
        <v>19837</v>
      </c>
      <c r="I130" s="16" t="n">
        <v>12432</v>
      </c>
      <c r="J130" s="16" t="n">
        <v>13109</v>
      </c>
      <c r="K130" s="7"/>
      <c r="L130" s="7"/>
      <c r="M130" s="16" t="n">
        <v>834457</v>
      </c>
      <c r="N130" s="16" t="n">
        <v>433946</v>
      </c>
      <c r="O130" s="16" t="n">
        <v>204378</v>
      </c>
      <c r="P130" s="16" t="n">
        <v>153459</v>
      </c>
      <c r="Q130" s="16" t="n">
        <v>110682</v>
      </c>
      <c r="R130" s="16" t="n">
        <v>53232</v>
      </c>
      <c r="S130" s="7"/>
      <c r="T130" s="7"/>
      <c r="U130" s="16" t="n">
        <v>2630865</v>
      </c>
      <c r="V130" s="16" t="n">
        <v>1401038</v>
      </c>
      <c r="W130" s="16" t="n">
        <v>765538</v>
      </c>
      <c r="X130" s="16" t="n">
        <v>446147</v>
      </c>
      <c r="Y130" s="16" t="n">
        <v>410848</v>
      </c>
      <c r="Z130" s="16" t="n">
        <v>224209</v>
      </c>
      <c r="AA130" s="7"/>
      <c r="AB130" s="7"/>
      <c r="AC130" s="16" t="n">
        <v>6342265</v>
      </c>
      <c r="AD130" s="16" t="n">
        <v>3960599</v>
      </c>
      <c r="AE130" s="16" t="n">
        <v>1978865</v>
      </c>
      <c r="AF130" s="16" t="n">
        <v>1222735</v>
      </c>
      <c r="AG130" s="16" t="n">
        <v>1189995</v>
      </c>
      <c r="AH130" s="16" t="n">
        <v>698607</v>
      </c>
      <c r="AI130" s="8"/>
    </row>
    <row r="131" customFormat="false" ht="16.4" hidden="false" customHeight="false" outlineLevel="0" collapsed="false">
      <c r="B131" s="30"/>
      <c r="C131" s="14"/>
      <c r="D131" s="15" t="s">
        <v>29</v>
      </c>
      <c r="E131" s="16" t="n">
        <v>82850</v>
      </c>
      <c r="F131" s="16" t="n">
        <v>47297</v>
      </c>
      <c r="G131" s="16" t="n">
        <v>30534</v>
      </c>
      <c r="H131" s="16" t="n">
        <v>18105</v>
      </c>
      <c r="I131" s="16" t="n">
        <v>16811</v>
      </c>
      <c r="J131" s="16" t="n">
        <v>10927</v>
      </c>
      <c r="K131" s="7"/>
      <c r="L131" s="7"/>
      <c r="M131" s="16" t="n">
        <v>831510</v>
      </c>
      <c r="N131" s="16" t="n">
        <v>446879</v>
      </c>
      <c r="O131" s="16" t="n">
        <v>210913</v>
      </c>
      <c r="P131" s="16" t="n">
        <v>134033</v>
      </c>
      <c r="Q131" s="16" t="n">
        <v>111999</v>
      </c>
      <c r="R131" s="16" t="n">
        <v>53110</v>
      </c>
      <c r="S131" s="7"/>
      <c r="T131" s="7"/>
      <c r="U131" s="16" t="n">
        <v>2476066</v>
      </c>
      <c r="V131" s="16" t="n">
        <v>1431739</v>
      </c>
      <c r="W131" s="16" t="n">
        <v>738463</v>
      </c>
      <c r="X131" s="16" t="n">
        <v>473871</v>
      </c>
      <c r="Y131" s="16" t="n">
        <v>413155</v>
      </c>
      <c r="Z131" s="16" t="n">
        <v>208103</v>
      </c>
      <c r="AA131" s="7"/>
      <c r="AB131" s="7"/>
      <c r="AC131" s="16" t="n">
        <v>6332445</v>
      </c>
      <c r="AD131" s="16" t="n">
        <v>3705915</v>
      </c>
      <c r="AE131" s="16" t="n">
        <v>1836154</v>
      </c>
      <c r="AF131" s="16" t="n">
        <v>1202809</v>
      </c>
      <c r="AG131" s="16" t="n">
        <v>1117488</v>
      </c>
      <c r="AH131" s="16" t="n">
        <v>699557</v>
      </c>
      <c r="AI131" s="8"/>
    </row>
    <row r="132" customFormat="false" ht="16.4" hidden="false" customHeight="false" outlineLevel="0" collapsed="false">
      <c r="B132" s="30"/>
      <c r="C132" s="14"/>
      <c r="D132" s="15" t="s">
        <v>30</v>
      </c>
      <c r="E132" s="16" t="n">
        <v>83419</v>
      </c>
      <c r="F132" s="16" t="n">
        <v>46526</v>
      </c>
      <c r="G132" s="16" t="n">
        <v>28774</v>
      </c>
      <c r="H132" s="16" t="n">
        <v>19877</v>
      </c>
      <c r="I132" s="16" t="n">
        <v>17073</v>
      </c>
      <c r="J132" s="16" t="n">
        <v>9424</v>
      </c>
      <c r="K132" s="7"/>
      <c r="L132" s="7"/>
      <c r="M132" s="16" t="n">
        <v>826408</v>
      </c>
      <c r="N132" s="16" t="n">
        <v>456837</v>
      </c>
      <c r="O132" s="16" t="n">
        <v>212075</v>
      </c>
      <c r="P132" s="16" t="n">
        <v>153744</v>
      </c>
      <c r="Q132" s="16" t="n">
        <v>104073</v>
      </c>
      <c r="R132" s="16" t="n">
        <v>53884</v>
      </c>
      <c r="S132" s="7"/>
      <c r="T132" s="7"/>
      <c r="U132" s="16" t="n">
        <v>2591673</v>
      </c>
      <c r="V132" s="16" t="n">
        <v>1450250</v>
      </c>
      <c r="W132" s="16" t="n">
        <v>764453</v>
      </c>
      <c r="X132" s="16" t="n">
        <v>449241</v>
      </c>
      <c r="Y132" s="16" t="n">
        <v>396535</v>
      </c>
      <c r="Z132" s="16" t="n">
        <v>222258</v>
      </c>
      <c r="AA132" s="7"/>
      <c r="AB132" s="7"/>
      <c r="AC132" s="16" t="n">
        <v>6484112</v>
      </c>
      <c r="AD132" s="16" t="n">
        <v>3953217</v>
      </c>
      <c r="AE132" s="16" t="n">
        <v>1868173</v>
      </c>
      <c r="AF132" s="16" t="n">
        <v>1231727</v>
      </c>
      <c r="AG132" s="16" t="n">
        <v>1143289</v>
      </c>
      <c r="AH132" s="16" t="n">
        <v>668867</v>
      </c>
      <c r="AI132" s="8"/>
    </row>
    <row r="133" customFormat="false" ht="16.4" hidden="false" customHeight="false" outlineLevel="0" collapsed="false">
      <c r="B133" s="30"/>
      <c r="C133" s="14"/>
      <c r="D133" s="15" t="s">
        <v>31</v>
      </c>
      <c r="E133" s="16" t="n">
        <v>84742</v>
      </c>
      <c r="F133" s="16" t="n">
        <v>51262</v>
      </c>
      <c r="G133" s="16" t="n">
        <v>22838</v>
      </c>
      <c r="H133" s="16" t="n">
        <v>17438</v>
      </c>
      <c r="I133" s="16" t="n">
        <v>16574</v>
      </c>
      <c r="J133" s="16" t="n">
        <v>9641</v>
      </c>
      <c r="K133" s="7"/>
      <c r="L133" s="7"/>
      <c r="M133" s="16" t="n">
        <v>826193</v>
      </c>
      <c r="N133" s="16" t="n">
        <v>434054</v>
      </c>
      <c r="O133" s="16" t="n">
        <v>211081</v>
      </c>
      <c r="P133" s="16" t="n">
        <v>153416</v>
      </c>
      <c r="Q133" s="16" t="n">
        <v>109547</v>
      </c>
      <c r="R133" s="16" t="n">
        <v>53003</v>
      </c>
      <c r="S133" s="7"/>
      <c r="T133" s="7"/>
      <c r="U133" s="16" t="n">
        <v>2533413</v>
      </c>
      <c r="V133" s="16" t="n">
        <v>1472744</v>
      </c>
      <c r="W133" s="16" t="n">
        <v>761874</v>
      </c>
      <c r="X133" s="16" t="n">
        <v>457981</v>
      </c>
      <c r="Y133" s="16" t="n">
        <v>404353</v>
      </c>
      <c r="Z133" s="16" t="n">
        <v>215247</v>
      </c>
      <c r="AA133" s="7"/>
      <c r="AB133" s="7"/>
      <c r="AC133" s="16" t="n">
        <v>6361606</v>
      </c>
      <c r="AD133" s="16" t="n">
        <v>3551049</v>
      </c>
      <c r="AE133" s="16" t="n">
        <v>1836151</v>
      </c>
      <c r="AF133" s="16" t="n">
        <v>1229735</v>
      </c>
      <c r="AG133" s="16" t="n">
        <v>1186289</v>
      </c>
      <c r="AH133" s="16" t="n">
        <v>698295</v>
      </c>
      <c r="AI133" s="8"/>
    </row>
    <row r="134" customFormat="false" ht="16.4" hidden="false" customHeight="false" outlineLevel="0" collapsed="false">
      <c r="B134" s="30"/>
      <c r="C134" s="14"/>
      <c r="D134" s="15" t="s">
        <v>32</v>
      </c>
      <c r="E134" s="16" t="n">
        <v>84596</v>
      </c>
      <c r="F134" s="16" t="n">
        <v>48947</v>
      </c>
      <c r="G134" s="16" t="n">
        <v>26379</v>
      </c>
      <c r="H134" s="16" t="n">
        <v>19758</v>
      </c>
      <c r="I134" s="16" t="n">
        <v>14710</v>
      </c>
      <c r="J134" s="16" t="n">
        <v>9721</v>
      </c>
      <c r="K134" s="7"/>
      <c r="L134" s="7"/>
      <c r="M134" s="16" t="n">
        <v>810368</v>
      </c>
      <c r="N134" s="16" t="n">
        <v>427830</v>
      </c>
      <c r="O134" s="16" t="n">
        <v>209252</v>
      </c>
      <c r="P134" s="16" t="n">
        <v>153908</v>
      </c>
      <c r="Q134" s="16" t="n">
        <v>110540</v>
      </c>
      <c r="R134" s="16" t="n">
        <v>52812</v>
      </c>
      <c r="S134" s="7"/>
      <c r="T134" s="7"/>
      <c r="U134" s="16" t="n">
        <v>2568784</v>
      </c>
      <c r="V134" s="16" t="n">
        <v>1494815</v>
      </c>
      <c r="W134" s="16" t="n">
        <v>773686</v>
      </c>
      <c r="X134" s="16" t="n">
        <v>450103</v>
      </c>
      <c r="Y134" s="16" t="n">
        <v>409241</v>
      </c>
      <c r="Z134" s="16" t="n">
        <v>217141</v>
      </c>
      <c r="AA134" s="7"/>
      <c r="AB134" s="7"/>
      <c r="AC134" s="16" t="n">
        <v>6340351</v>
      </c>
      <c r="AD134" s="16" t="n">
        <v>3536361</v>
      </c>
      <c r="AE134" s="16" t="n">
        <v>2011615</v>
      </c>
      <c r="AF134" s="16" t="n">
        <v>1205709</v>
      </c>
      <c r="AG134" s="16" t="n">
        <v>1150645</v>
      </c>
      <c r="AH134" s="16" t="n">
        <v>671243</v>
      </c>
      <c r="AI134" s="8"/>
    </row>
    <row r="135" customFormat="false" ht="16.4" hidden="false" customHeight="false" outlineLevel="0" collapsed="false">
      <c r="B135" s="30"/>
      <c r="C135" s="14"/>
      <c r="D135" s="15" t="s">
        <v>33</v>
      </c>
      <c r="E135" s="16" t="n">
        <v>88361</v>
      </c>
      <c r="F135" s="16" t="n">
        <v>47387</v>
      </c>
      <c r="G135" s="16" t="n">
        <v>28687</v>
      </c>
      <c r="H135" s="16" t="n">
        <v>21227</v>
      </c>
      <c r="I135" s="16" t="n">
        <v>16830</v>
      </c>
      <c r="J135" s="16" t="n">
        <v>8591</v>
      </c>
      <c r="K135" s="7"/>
      <c r="L135" s="7"/>
      <c r="M135" s="16" t="n">
        <v>814602</v>
      </c>
      <c r="N135" s="16" t="n">
        <v>476573</v>
      </c>
      <c r="O135" s="16" t="n">
        <v>214559</v>
      </c>
      <c r="P135" s="16" t="n">
        <v>154444</v>
      </c>
      <c r="Q135" s="16" t="n">
        <v>113499</v>
      </c>
      <c r="R135" s="16" t="n">
        <v>53258</v>
      </c>
      <c r="S135" s="7"/>
      <c r="T135" s="7"/>
      <c r="U135" s="16" t="n">
        <v>2636772</v>
      </c>
      <c r="V135" s="16" t="n">
        <v>1497522</v>
      </c>
      <c r="W135" s="16" t="n">
        <v>779617</v>
      </c>
      <c r="X135" s="16" t="n">
        <v>435266</v>
      </c>
      <c r="Y135" s="16" t="n">
        <v>415194</v>
      </c>
      <c r="Z135" s="16" t="n">
        <v>220294</v>
      </c>
      <c r="AA135" s="7"/>
      <c r="AB135" s="7"/>
      <c r="AC135" s="16" t="n">
        <v>6335572</v>
      </c>
      <c r="AD135" s="16" t="n">
        <v>3547519</v>
      </c>
      <c r="AE135" s="16" t="n">
        <v>1858410</v>
      </c>
      <c r="AF135" s="16" t="n">
        <v>1181213</v>
      </c>
      <c r="AG135" s="16" t="n">
        <v>1138498</v>
      </c>
      <c r="AH135" s="16" t="n">
        <v>686020</v>
      </c>
      <c r="AI135" s="8"/>
    </row>
    <row r="136" customFormat="false" ht="16.4" hidden="false" customHeight="false" outlineLevel="0" collapsed="false">
      <c r="B136" s="30"/>
      <c r="C136" s="14"/>
      <c r="D136" s="15" t="s">
        <v>34</v>
      </c>
      <c r="E136" s="16" t="n">
        <v>86244</v>
      </c>
      <c r="F136" s="16" t="n">
        <v>49217</v>
      </c>
      <c r="G136" s="16" t="n">
        <v>31965</v>
      </c>
      <c r="H136" s="16" t="n">
        <v>17520</v>
      </c>
      <c r="I136" s="16" t="n">
        <v>17145</v>
      </c>
      <c r="J136" s="16" t="n">
        <v>8376</v>
      </c>
      <c r="K136" s="7"/>
      <c r="L136" s="7"/>
      <c r="M136" s="16" t="n">
        <v>828467</v>
      </c>
      <c r="N136" s="16" t="n">
        <v>533700</v>
      </c>
      <c r="O136" s="16" t="n">
        <v>213142</v>
      </c>
      <c r="P136" s="16" t="n">
        <v>151218</v>
      </c>
      <c r="Q136" s="16" t="n">
        <v>105611</v>
      </c>
      <c r="R136" s="16" t="n">
        <v>54747</v>
      </c>
      <c r="S136" s="7"/>
      <c r="T136" s="7"/>
      <c r="U136" s="16" t="n">
        <v>2659612</v>
      </c>
      <c r="V136" s="16" t="n">
        <v>1499006</v>
      </c>
      <c r="W136" s="16" t="n">
        <v>732253</v>
      </c>
      <c r="X136" s="16" t="n">
        <v>437161</v>
      </c>
      <c r="Y136" s="16" t="n">
        <v>412165</v>
      </c>
      <c r="Z136" s="16" t="n">
        <v>219893</v>
      </c>
      <c r="AA136" s="7"/>
      <c r="AB136" s="7"/>
      <c r="AC136" s="16" t="n">
        <v>6304358</v>
      </c>
      <c r="AD136" s="16" t="n">
        <v>3738393</v>
      </c>
      <c r="AE136" s="16" t="n">
        <v>2013873</v>
      </c>
      <c r="AF136" s="16" t="n">
        <v>1207286</v>
      </c>
      <c r="AG136" s="16" t="n">
        <v>1192567</v>
      </c>
      <c r="AH136" s="16" t="n">
        <v>645778</v>
      </c>
      <c r="AI136" s="8"/>
    </row>
    <row r="137" customFormat="false" ht="16.4" hidden="false" customHeight="false" outlineLevel="0" collapsed="false">
      <c r="B137" s="30"/>
      <c r="C137" s="14"/>
      <c r="D137" s="15" t="s">
        <v>35</v>
      </c>
      <c r="E137" s="16" t="n">
        <v>85896</v>
      </c>
      <c r="F137" s="16" t="n">
        <v>47623</v>
      </c>
      <c r="G137" s="16" t="n">
        <v>26407</v>
      </c>
      <c r="H137" s="16" t="n">
        <v>13184</v>
      </c>
      <c r="I137" s="16" t="n">
        <v>13927</v>
      </c>
      <c r="J137" s="16" t="n">
        <v>10775</v>
      </c>
      <c r="K137" s="7"/>
      <c r="L137" s="7"/>
      <c r="M137" s="16" t="n">
        <v>835142</v>
      </c>
      <c r="N137" s="16" t="n">
        <v>496172</v>
      </c>
      <c r="O137" s="16" t="n">
        <v>211180</v>
      </c>
      <c r="P137" s="16" t="n">
        <v>152690</v>
      </c>
      <c r="Q137" s="16" t="n">
        <v>111307</v>
      </c>
      <c r="R137" s="16" t="n">
        <v>52821</v>
      </c>
      <c r="S137" s="7"/>
      <c r="T137" s="7"/>
      <c r="U137" s="16" t="n">
        <v>2674902</v>
      </c>
      <c r="V137" s="16" t="n">
        <v>1476846</v>
      </c>
      <c r="W137" s="16" t="n">
        <v>774385</v>
      </c>
      <c r="X137" s="16" t="n">
        <v>490687</v>
      </c>
      <c r="Y137" s="16" t="n">
        <v>408910</v>
      </c>
      <c r="Z137" s="16" t="n">
        <v>239489</v>
      </c>
      <c r="AA137" s="7"/>
      <c r="AB137" s="7"/>
      <c r="AC137" s="16" t="n">
        <v>6328375</v>
      </c>
      <c r="AD137" s="16" t="n">
        <v>3558111</v>
      </c>
      <c r="AE137" s="16" t="n">
        <v>1934335</v>
      </c>
      <c r="AF137" s="16" t="n">
        <v>1189690</v>
      </c>
      <c r="AG137" s="16" t="n">
        <v>1129554</v>
      </c>
      <c r="AH137" s="16" t="n">
        <v>648679</v>
      </c>
      <c r="AI137" s="8"/>
    </row>
    <row r="138" customFormat="false" ht="16.4" hidden="false" customHeight="false" outlineLevel="0" collapsed="false">
      <c r="B138" s="30"/>
      <c r="C138" s="14"/>
      <c r="D138" s="15" t="s">
        <v>36</v>
      </c>
      <c r="E138" s="16" t="n">
        <v>86109</v>
      </c>
      <c r="F138" s="16" t="n">
        <v>46962</v>
      </c>
      <c r="G138" s="16" t="n">
        <v>24888</v>
      </c>
      <c r="H138" s="16" t="n">
        <v>15690</v>
      </c>
      <c r="I138" s="16" t="n">
        <v>15417</v>
      </c>
      <c r="J138" s="16" t="n">
        <v>9918</v>
      </c>
      <c r="K138" s="7"/>
      <c r="L138" s="7"/>
      <c r="M138" s="16" t="n">
        <v>833099</v>
      </c>
      <c r="N138" s="16" t="n">
        <v>515015</v>
      </c>
      <c r="O138" s="16" t="n">
        <v>223729</v>
      </c>
      <c r="P138" s="16" t="n">
        <v>153195</v>
      </c>
      <c r="Q138" s="16" t="n">
        <v>108110</v>
      </c>
      <c r="R138" s="16" t="n">
        <v>52974</v>
      </c>
      <c r="S138" s="7"/>
      <c r="T138" s="7"/>
      <c r="U138" s="16" t="n">
        <v>2643924</v>
      </c>
      <c r="V138" s="16" t="n">
        <v>1423464</v>
      </c>
      <c r="W138" s="16" t="n">
        <v>783450</v>
      </c>
      <c r="X138" s="16" t="n">
        <v>443428</v>
      </c>
      <c r="Y138" s="16" t="n">
        <v>418282</v>
      </c>
      <c r="Z138" s="16" t="n">
        <v>226283</v>
      </c>
      <c r="AA138" s="7"/>
      <c r="AB138" s="7"/>
      <c r="AC138" s="16" t="n">
        <v>6326340</v>
      </c>
      <c r="AD138" s="16" t="n">
        <v>3580238</v>
      </c>
      <c r="AE138" s="16" t="n">
        <v>1829403</v>
      </c>
      <c r="AF138" s="16" t="n">
        <v>1199149</v>
      </c>
      <c r="AG138" s="16" t="n">
        <v>1188616</v>
      </c>
      <c r="AH138" s="16" t="n">
        <v>616664</v>
      </c>
      <c r="AI138" s="8"/>
    </row>
    <row r="139" customFormat="false" ht="16.4" hidden="false" customHeight="false" outlineLevel="0" collapsed="false">
      <c r="B139" s="30"/>
      <c r="C139" s="14"/>
      <c r="D139" s="15" t="s">
        <v>37</v>
      </c>
      <c r="E139" s="16" t="n">
        <v>86380</v>
      </c>
      <c r="F139" s="16" t="n">
        <v>48653</v>
      </c>
      <c r="G139" s="16" t="n">
        <v>25736</v>
      </c>
      <c r="H139" s="16" t="n">
        <v>17017</v>
      </c>
      <c r="I139" s="16" t="n">
        <v>15902</v>
      </c>
      <c r="J139" s="16" t="n">
        <v>10589</v>
      </c>
      <c r="K139" s="7"/>
      <c r="L139" s="7"/>
      <c r="M139" s="16" t="n">
        <v>828083</v>
      </c>
      <c r="N139" s="16" t="n">
        <v>484482</v>
      </c>
      <c r="O139" s="16" t="n">
        <v>231692</v>
      </c>
      <c r="P139" s="16" t="n">
        <v>153204</v>
      </c>
      <c r="Q139" s="16" t="n">
        <v>111904</v>
      </c>
      <c r="R139" s="16" t="n">
        <v>52423</v>
      </c>
      <c r="S139" s="7"/>
      <c r="T139" s="7"/>
      <c r="U139" s="16" t="n">
        <v>2684431</v>
      </c>
      <c r="V139" s="16" t="n">
        <v>1495877</v>
      </c>
      <c r="W139" s="16" t="n">
        <v>711978</v>
      </c>
      <c r="X139" s="16" t="n">
        <v>452100</v>
      </c>
      <c r="Y139" s="16" t="n">
        <v>411983</v>
      </c>
      <c r="Z139" s="16" t="n">
        <v>218553</v>
      </c>
      <c r="AA139" s="7"/>
      <c r="AB139" s="7"/>
      <c r="AC139" s="16" t="n">
        <v>6311259</v>
      </c>
      <c r="AD139" s="16" t="n">
        <v>3528005</v>
      </c>
      <c r="AE139" s="16" t="n">
        <v>2026715</v>
      </c>
      <c r="AF139" s="16" t="n">
        <v>1221940</v>
      </c>
      <c r="AG139" s="16" t="n">
        <v>1187644</v>
      </c>
      <c r="AH139" s="16" t="n">
        <v>691029</v>
      </c>
      <c r="AI139" s="8"/>
    </row>
    <row r="140" customFormat="false" ht="16.4" hidden="false" customHeight="false" outlineLevel="0" collapsed="false">
      <c r="B140" s="30"/>
      <c r="C140" s="14"/>
      <c r="D140" s="15" t="s">
        <v>38</v>
      </c>
      <c r="E140" s="16" t="n">
        <v>86291</v>
      </c>
      <c r="F140" s="16" t="n">
        <v>49882</v>
      </c>
      <c r="G140" s="16" t="n">
        <v>27883</v>
      </c>
      <c r="H140" s="16" t="n">
        <v>17374</v>
      </c>
      <c r="I140" s="16" t="n">
        <v>15588</v>
      </c>
      <c r="J140" s="16" t="n">
        <v>9049</v>
      </c>
      <c r="K140" s="7"/>
      <c r="L140" s="7"/>
      <c r="M140" s="16" t="n">
        <v>834255</v>
      </c>
      <c r="N140" s="16" t="n">
        <v>520701</v>
      </c>
      <c r="O140" s="16" t="n">
        <v>205602</v>
      </c>
      <c r="P140" s="16" t="n">
        <v>125059</v>
      </c>
      <c r="Q140" s="16" t="n">
        <v>110533</v>
      </c>
      <c r="R140" s="16" t="n">
        <v>53012</v>
      </c>
      <c r="S140" s="7"/>
      <c r="T140" s="7"/>
      <c r="U140" s="16" t="n">
        <v>2645128</v>
      </c>
      <c r="V140" s="16" t="n">
        <v>1348281</v>
      </c>
      <c r="W140" s="16" t="n">
        <v>744164</v>
      </c>
      <c r="X140" s="16" t="n">
        <v>454791</v>
      </c>
      <c r="Y140" s="16" t="n">
        <v>410373</v>
      </c>
      <c r="Z140" s="16" t="n">
        <v>226468</v>
      </c>
      <c r="AA140" s="7"/>
      <c r="AB140" s="7"/>
      <c r="AC140" s="16" t="n">
        <v>6319808</v>
      </c>
      <c r="AD140" s="16" t="n">
        <v>3616055</v>
      </c>
      <c r="AE140" s="16" t="n">
        <v>1848115</v>
      </c>
      <c r="AF140" s="16" t="n">
        <v>1226841</v>
      </c>
      <c r="AG140" s="16" t="n">
        <v>1114567</v>
      </c>
      <c r="AH140" s="16" t="n">
        <v>667300</v>
      </c>
      <c r="AI140" s="8"/>
    </row>
    <row r="141" customFormat="false" ht="16.4" hidden="false" customHeight="false" outlineLevel="0" collapsed="false">
      <c r="B141" s="30"/>
      <c r="C141" s="14"/>
      <c r="D141" s="15" t="s">
        <v>39</v>
      </c>
      <c r="E141" s="16" t="n">
        <v>88594</v>
      </c>
      <c r="F141" s="16" t="n">
        <v>46353</v>
      </c>
      <c r="G141" s="16" t="n">
        <v>29523</v>
      </c>
      <c r="H141" s="16" t="n">
        <v>18456</v>
      </c>
      <c r="I141" s="16" t="n">
        <v>13403</v>
      </c>
      <c r="J141" s="16" t="n">
        <v>10205</v>
      </c>
      <c r="K141" s="7"/>
      <c r="L141" s="7"/>
      <c r="M141" s="16" t="n">
        <v>826173</v>
      </c>
      <c r="N141" s="16" t="n">
        <v>497118</v>
      </c>
      <c r="O141" s="16" t="n">
        <v>210531</v>
      </c>
      <c r="P141" s="16" t="n">
        <v>154545</v>
      </c>
      <c r="Q141" s="16" t="n">
        <v>110799</v>
      </c>
      <c r="R141" s="16" t="n">
        <v>52645</v>
      </c>
      <c r="S141" s="7"/>
      <c r="T141" s="7"/>
      <c r="U141" s="16" t="n">
        <v>2651581</v>
      </c>
      <c r="V141" s="16" t="n">
        <v>1512173</v>
      </c>
      <c r="W141" s="16" t="n">
        <v>741430</v>
      </c>
      <c r="X141" s="16" t="n">
        <v>444476</v>
      </c>
      <c r="Y141" s="16" t="n">
        <v>415222</v>
      </c>
      <c r="Z141" s="16" t="n">
        <v>246373</v>
      </c>
      <c r="AA141" s="7"/>
      <c r="AB141" s="7"/>
      <c r="AC141" s="16" t="n">
        <v>6326056</v>
      </c>
      <c r="AD141" s="16" t="n">
        <v>3810639</v>
      </c>
      <c r="AE141" s="16" t="n">
        <v>2054568</v>
      </c>
      <c r="AF141" s="16" t="n">
        <v>1237819</v>
      </c>
      <c r="AG141" s="16" t="n">
        <v>1146220</v>
      </c>
      <c r="AH141" s="16" t="n">
        <v>679868</v>
      </c>
      <c r="AI141" s="8"/>
    </row>
    <row r="142" customFormat="false" ht="16.4" hidden="false" customHeight="false" outlineLevel="0" collapsed="false">
      <c r="B142" s="30"/>
      <c r="C142" s="14"/>
      <c r="D142" s="15" t="s">
        <v>40</v>
      </c>
      <c r="E142" s="16" t="n">
        <v>86235</v>
      </c>
      <c r="F142" s="16" t="n">
        <v>46877</v>
      </c>
      <c r="G142" s="16" t="n">
        <v>24213</v>
      </c>
      <c r="H142" s="16" t="n">
        <v>17581</v>
      </c>
      <c r="I142" s="16" t="n">
        <v>17309</v>
      </c>
      <c r="J142" s="16" t="n">
        <v>9365</v>
      </c>
      <c r="K142" s="7"/>
      <c r="L142" s="7"/>
      <c r="M142" s="16" t="n">
        <v>827354</v>
      </c>
      <c r="N142" s="16" t="n">
        <v>533768</v>
      </c>
      <c r="O142" s="16" t="n">
        <v>211510</v>
      </c>
      <c r="P142" s="16" t="n">
        <v>153773</v>
      </c>
      <c r="Q142" s="16" t="n">
        <v>112925</v>
      </c>
      <c r="R142" s="16" t="n">
        <v>56030</v>
      </c>
      <c r="S142" s="7"/>
      <c r="T142" s="7"/>
      <c r="U142" s="16" t="n">
        <v>2665643</v>
      </c>
      <c r="V142" s="16" t="n">
        <v>1402123</v>
      </c>
      <c r="W142" s="16" t="n">
        <v>767113</v>
      </c>
      <c r="X142" s="16" t="n">
        <v>456579</v>
      </c>
      <c r="Y142" s="16" t="n">
        <v>409411</v>
      </c>
      <c r="Z142" s="16" t="n">
        <v>243906</v>
      </c>
      <c r="AA142" s="7"/>
      <c r="AB142" s="7"/>
      <c r="AC142" s="16" t="n">
        <v>6546104</v>
      </c>
      <c r="AD142" s="16" t="n">
        <v>3447069</v>
      </c>
      <c r="AE142" s="16" t="n">
        <v>1920703</v>
      </c>
      <c r="AF142" s="16" t="n">
        <v>1250983</v>
      </c>
      <c r="AG142" s="16" t="n">
        <v>1171723</v>
      </c>
      <c r="AH142" s="16" t="n">
        <v>694395</v>
      </c>
      <c r="AI142" s="8"/>
    </row>
    <row r="143" customFormat="false" ht="16.5" hidden="false" customHeight="true" outlineLevel="0" collapsed="false">
      <c r="B143" s="30"/>
      <c r="C143" s="18"/>
      <c r="D143" s="19" t="s">
        <v>41</v>
      </c>
      <c r="E143" s="20" t="n">
        <f aca="false" t="array" ref="E143:E143">ROUND(AVERAGE(IF((ISNUMBER(E113:E142))*(E113:E142&lt;LARGE(E113:E142,2))*(E113:E142&gt;SMALL(E113:E142,2)),E113:E142)),0)</f>
        <v>85957</v>
      </c>
      <c r="F143" s="20" t="n">
        <f aca="false" t="array" ref="F143:F143">ROUND(AVERAGE(IF((ISNUMBER(F113:F142))*(F113:F142&lt;LARGE(F113:F142,2))*(F113:F142&gt;SMALL(F113:F142,2)),F113:F142)),0)</f>
        <v>47981</v>
      </c>
      <c r="G143" s="20" t="n">
        <f aca="false" t="array" ref="G143:G143">ROUND(AVERAGE(IF((ISNUMBER(G113:G142))*(G113:G142&lt;LARGE(G113:G142,2))*(G113:G142&gt;SMALL(G113:G142,2)),G113:G142)),0)</f>
        <v>27383</v>
      </c>
      <c r="H143" s="20" t="n">
        <f aca="false" t="array" ref="H143:H143">ROUND(AVERAGE(IF((ISNUMBER(H113:H142))*(H113:H142&lt;LARGE(H113:H142,2))*(H113:H142&gt;SMALL(H113:H142,2)),H113:H142)),0)</f>
        <v>17997</v>
      </c>
      <c r="I143" s="20" t="n">
        <f aca="false" t="array" ref="I143:I143">ROUND(AVERAGE(IF((ISNUMBER(I113:I142))*(I113:I142&lt;LARGE(I113:I142,2))*(I113:I142&gt;SMALL(I113:I142,2)),I113:I142)),0)</f>
        <v>15507</v>
      </c>
      <c r="J143" s="20" t="n">
        <f aca="false" t="array" ref="J143:J143">ROUND(AVERAGE(IF((ISNUMBER(J113:J142))*(J113:J142&lt;LARGE(J113:J142,2))*(J113:J142&gt;SMALL(J113:J142,2)),J113:J142)),0)</f>
        <v>10041</v>
      </c>
      <c r="K143" s="20"/>
      <c r="L143" s="20"/>
      <c r="M143" s="20" t="n">
        <f aca="false" t="array" ref="M143:M143">ROUND(AVERAGE(IF((ISNUMBER(M113:M142))*(M113:M142&lt;LARGE(M113:M142,2))*(M113:M142&gt;SMALL(M113:M142,2)),M113:M142)),0)</f>
        <v>822276</v>
      </c>
      <c r="N143" s="20" t="n">
        <f aca="false" t="array" ref="N143:N143">ROUND(AVERAGE(IF((ISNUMBER(N113:N142))*(N113:N142&lt;LARGE(N113:N142,2))*(N113:N142&gt;SMALL(N113:N142,2)),N113:N142)),0)</f>
        <v>457133</v>
      </c>
      <c r="O143" s="20" t="n">
        <f aca="false" t="array" ref="O143:O143">ROUND(AVERAGE(IF((ISNUMBER(O113:O142))*(O113:O142&lt;LARGE(O113:O142,2))*(O113:O142&gt;SMALL(O113:O142,2)),O113:O142)),0)</f>
        <v>249402</v>
      </c>
      <c r="P143" s="20" t="n">
        <f aca="false" t="array" ref="P143:P143">ROUND(AVERAGE(IF((ISNUMBER(P113:P142))*(P113:P142&lt;LARGE(P113:P142,2))*(P113:P142&gt;SMALL(P113:P142,2)),P113:P142)),0)</f>
        <v>152423</v>
      </c>
      <c r="Q143" s="20" t="n">
        <f aca="false" t="array" ref="Q143:Q143">ROUND(AVERAGE(IF((ISNUMBER(Q113:Q142))*(Q113:Q142&lt;LARGE(Q113:Q142,2))*(Q113:Q142&gt;SMALL(Q113:Q142,2)),Q113:Q142)),0)</f>
        <v>110629</v>
      </c>
      <c r="R143" s="20" t="n">
        <f aca="false" t="array" ref="R143:R143">ROUND(AVERAGE(IF((ISNUMBER(R113:R142))*(R113:R142&lt;LARGE(R113:R142,2))*(R113:R142&gt;SMALL(R113:R142,2)),R113:R142)),0)</f>
        <v>53439</v>
      </c>
      <c r="S143" s="20"/>
      <c r="T143" s="20"/>
      <c r="U143" s="20" t="n">
        <f aca="false" t="array" ref="U143:U143">ROUND(AVERAGE(IF((ISNUMBER(U113:U142))*(U113:U142&lt;LARGE(U113:U142,2))*(U113:U142&gt;SMALL(U113:U142,2)),U113:U142)),0)</f>
        <v>2585795</v>
      </c>
      <c r="V143" s="20" t="n">
        <f aca="false" t="array" ref="V143:V143">ROUND(AVERAGE(IF((ISNUMBER(V113:V142))*(V113:V142&lt;LARGE(V113:V142,2))*(V113:V142&gt;SMALL(V113:V142,2)),V113:V142)),0)</f>
        <v>1451931</v>
      </c>
      <c r="W143" s="20" t="n">
        <f aca="false" t="array" ref="W143:W143">ROUND(AVERAGE(IF((ISNUMBER(W113:W142))*(W113:W142&lt;LARGE(W113:W142,2))*(W113:W142&gt;SMALL(W113:W142,2)),W113:W142)),0)</f>
        <v>755950</v>
      </c>
      <c r="X143" s="20" t="n">
        <f aca="false" t="array" ref="X143:X143">ROUND(AVERAGE(IF((ISNUMBER(X113:X142))*(X113:X142&lt;LARGE(X113:X142,2))*(X113:X142&gt;SMALL(X113:X142,2)),X113:X142)),0)</f>
        <v>447873</v>
      </c>
      <c r="Y143" s="20" t="n">
        <f aca="false" t="array" ref="Y143:Y143">ROUND(AVERAGE(IF((ISNUMBER(Y113:Y142))*(Y113:Y142&lt;LARGE(Y113:Y142,2))*(Y113:Y142&gt;SMALL(Y113:Y142,2)),Y113:Y142)),0)</f>
        <v>410118</v>
      </c>
      <c r="Z143" s="20" t="n">
        <f aca="false" t="array" ref="Z143:Z143">ROUND(AVERAGE(IF((ISNUMBER(Z113:Z142))*(Z113:Z142&lt;LARGE(Z113:Z142,2))*(Z113:Z142&gt;SMALL(Z113:Z142,2)),Z113:Z142)),0)</f>
        <v>226796</v>
      </c>
      <c r="AA143" s="20"/>
      <c r="AB143" s="20"/>
      <c r="AC143" s="20" t="n">
        <f aca="false" t="array" ref="AC143:AC143">ROUND(AVERAGE(IF((ISNUMBER(AC113:AC142))*(AC113:AC142&lt;LARGE(AC113:AC142,2))*(AC113:AC142&gt;SMALL(AC113:AC142,2)),AC113:AC142)),0)</f>
        <v>6393769</v>
      </c>
      <c r="AD143" s="20" t="n">
        <f aca="false" t="array" ref="AD143:AD143">ROUND(AVERAGE(IF((ISNUMBER(AD113:AD142))*(AD113:AD142&lt;LARGE(AD113:AD142,2))*(AD113:AD142&gt;SMALL(AD113:AD142,2)),AD113:AD142)),0)</f>
        <v>3620786</v>
      </c>
      <c r="AE143" s="20" t="n">
        <f aca="false" t="array" ref="AE143:AE143">ROUND(AVERAGE(IF((ISNUMBER(AE113:AE142))*(AE113:AE142&lt;LARGE(AE113:AE142,2))*(AE113:AE142&gt;SMALL(AE113:AE142,2)),AE113:AE142)),0)</f>
        <v>1918788</v>
      </c>
      <c r="AF143" s="20" t="n">
        <f aca="false" t="array" ref="AF143:AF143">ROUND(AVERAGE(IF((ISNUMBER(AF113:AF142))*(AF113:AF142&lt;LARGE(AF113:AF142,2))*(AF113:AF142&gt;SMALL(AF113:AF142,2)),AF113:AF142)),0)</f>
        <v>1207817</v>
      </c>
      <c r="AG143" s="20" t="n">
        <f aca="false" t="array" ref="AG143:AG143">ROUND(AVERAGE(IF((ISNUMBER(AG113:AG142))*(AG113:AG142&lt;LARGE(AG113:AG142,2))*(AG113:AG142&gt;SMALL(AG113:AG142,2)),AG113:AG142)),0)</f>
        <v>1157945</v>
      </c>
      <c r="AH143" s="21" t="n">
        <f aca="false" t="array" ref="AH143:AH143">ROUND(AVERAGE(IF((ISNUMBER(AH113:AH142))*(AH113:AH142&lt;LARGE(AH113:AH142,2))*(AH113:AH142&gt;SMALL(AH113:AH142,2)),AH113:AH142)),0)</f>
        <v>681415</v>
      </c>
      <c r="AI143" s="8"/>
    </row>
    <row r="144" customFormat="false" ht="16.5" hidden="false" customHeight="true" outlineLevel="0" collapsed="false">
      <c r="B144" s="31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5"/>
    </row>
    <row r="145" customFormat="false" ht="14.25" hidden="false" customHeight="false" outlineLevel="0" collapsed="false">
      <c r="D145" s="32"/>
    </row>
    <row r="146" customFormat="false" ht="14.25" hidden="false" customHeight="false" outlineLevel="0" collapsed="false">
      <c r="D146" s="32"/>
    </row>
  </sheetData>
  <mergeCells count="12">
    <mergeCell ref="K4:L4"/>
    <mergeCell ref="S4:T4"/>
    <mergeCell ref="AA4:AB4"/>
    <mergeCell ref="K40:L40"/>
    <mergeCell ref="S40:T40"/>
    <mergeCell ref="AA40:AB40"/>
    <mergeCell ref="K76:L76"/>
    <mergeCell ref="S76:T76"/>
    <mergeCell ref="AA76:AB76"/>
    <mergeCell ref="K112:L112"/>
    <mergeCell ref="S112:T112"/>
    <mergeCell ref="AA112:AB1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AK274"/>
  <sheetViews>
    <sheetView showFormulas="false" showGridLines="true" showRowColHeaders="true" showZeros="true" rightToLeft="false" tabSelected="false" showOutlineSymbols="true" defaultGridColor="true" view="normal" topLeftCell="C1" colorId="64" zoomScale="36" zoomScaleNormal="36" zoomScalePageLayoutView="100" workbookViewId="0">
      <selection pane="topLeft" activeCell="AN251" activeCellId="0" sqref="AN251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27.22"/>
    <col collapsed="false" customWidth="true" hidden="false" outlineLevel="0" max="4" min="4" style="0" width="10.89"/>
    <col collapsed="false" customWidth="true" hidden="false" outlineLevel="0" max="11" min="11" style="0" width="10.89"/>
  </cols>
  <sheetData>
    <row r="6" customFormat="false" ht="14.25" hidden="false" customHeight="false" outlineLevel="0" collapsed="false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5"/>
    </row>
    <row r="7" customFormat="false" ht="33.85" hidden="false" customHeight="false" outlineLevel="0" collapsed="false">
      <c r="B7" s="36"/>
      <c r="C7" s="37" t="s">
        <v>47</v>
      </c>
      <c r="D7" s="3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38"/>
    </row>
    <row r="8" customFormat="false" ht="14.25" hidden="false" customHeight="false" outlineLevel="0" collapsed="false">
      <c r="B8" s="36"/>
      <c r="C8" s="15" t="s">
        <v>48</v>
      </c>
      <c r="D8" s="15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5" t="s">
        <v>7</v>
      </c>
      <c r="J8" s="7"/>
      <c r="K8" s="39" t="s">
        <v>48</v>
      </c>
      <c r="L8" s="39"/>
      <c r="M8" s="15" t="s">
        <v>2</v>
      </c>
      <c r="N8" s="15" t="s">
        <v>3</v>
      </c>
      <c r="O8" s="15" t="s">
        <v>4</v>
      </c>
      <c r="P8" s="15" t="s">
        <v>5</v>
      </c>
      <c r="Q8" s="15" t="s">
        <v>6</v>
      </c>
      <c r="R8" s="15" t="s">
        <v>7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38"/>
    </row>
    <row r="9" customFormat="false" ht="14.25" hidden="false" customHeight="false" outlineLevel="0" collapsed="false">
      <c r="B9" s="36"/>
      <c r="C9" s="7" t="s">
        <v>49</v>
      </c>
      <c r="D9" s="7" t="n">
        <v>1</v>
      </c>
      <c r="E9" s="7" t="n">
        <f aca="false">$D10/E10</f>
        <v>1.87356815578465</v>
      </c>
      <c r="F9" s="7" t="n">
        <f aca="false">$D10/F10</f>
        <v>3.23445803979731</v>
      </c>
      <c r="G9" s="7" t="n">
        <f aca="false">$D10/G10</f>
        <v>5.05920448504181</v>
      </c>
      <c r="H9" s="7" t="n">
        <f aca="false">$D10/H10</f>
        <v>5.07662463627546</v>
      </c>
      <c r="I9" s="7" t="n">
        <f aca="false">$D10/I10</f>
        <v>4.4010931259197</v>
      </c>
      <c r="J9" s="7"/>
      <c r="K9" s="40" t="s">
        <v>50</v>
      </c>
      <c r="L9" s="40"/>
      <c r="M9" s="7" t="n">
        <f aca="false">(D9+D12+D15+D18)/4</f>
        <v>1</v>
      </c>
      <c r="N9" s="7" t="n">
        <f aca="false">(E9+E12+E15+E18)/4</f>
        <v>1.92459579922843</v>
      </c>
      <c r="O9" s="7" t="n">
        <f aca="false">(F9+F12+F15+F18)/4</f>
        <v>3.76428454065455</v>
      </c>
      <c r="P9" s="7" t="n">
        <f aca="false">(G9+G12+G15+G18)/4</f>
        <v>6.49326783801864</v>
      </c>
      <c r="Q9" s="7" t="n">
        <f aca="false">(H9+H12+H15+H18)/4</f>
        <v>6.39049767569996</v>
      </c>
      <c r="R9" s="7" t="n">
        <f aca="false">(I9+I12+I15+I18)/4</f>
        <v>5.16701749830093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38"/>
    </row>
    <row r="10" customFormat="false" ht="14.25" hidden="false" customHeight="false" outlineLevel="0" collapsed="false">
      <c r="B10" s="36"/>
      <c r="C10" s="7" t="s">
        <v>51</v>
      </c>
      <c r="D10" s="7" t="n">
        <f aca="false">'Información completa'!E35</f>
        <v>104680</v>
      </c>
      <c r="E10" s="7" t="n">
        <f aca="false">'Información completa'!F35</f>
        <v>55872</v>
      </c>
      <c r="F10" s="7" t="n">
        <f aca="false">'Información completa'!G35</f>
        <v>32364</v>
      </c>
      <c r="G10" s="7" t="n">
        <f aca="false">'Información completa'!H35</f>
        <v>20691</v>
      </c>
      <c r="H10" s="7" t="n">
        <f aca="false">'Información completa'!I35</f>
        <v>20620</v>
      </c>
      <c r="I10" s="7" t="n">
        <f aca="false">'Información completa'!J35</f>
        <v>23785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38"/>
    </row>
    <row r="11" customFormat="false" ht="14.25" hidden="false" customHeight="false" outlineLevel="0" collapsed="false">
      <c r="B11" s="36"/>
      <c r="C11" s="15" t="s">
        <v>48</v>
      </c>
      <c r="D11" s="15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38"/>
    </row>
    <row r="12" customFormat="false" ht="14.25" hidden="false" customHeight="false" outlineLevel="0" collapsed="false">
      <c r="B12" s="36"/>
      <c r="C12" s="7" t="s">
        <v>52</v>
      </c>
      <c r="D12" s="7" t="n">
        <v>1</v>
      </c>
      <c r="E12" s="7" t="n">
        <f aca="false">$D13/E13</f>
        <v>2.02848223227729</v>
      </c>
      <c r="F12" s="7" t="n">
        <f aca="false">$D13/F13</f>
        <v>3.96247746668195</v>
      </c>
      <c r="G12" s="7" t="n">
        <f aca="false">$D13/G13</f>
        <v>5.63345332800024</v>
      </c>
      <c r="H12" s="7" t="n">
        <f aca="false">$D13/H13</f>
        <v>6.56773257571178</v>
      </c>
      <c r="I12" s="7" t="n">
        <f aca="false">$D13/I13</f>
        <v>5.36992123927234</v>
      </c>
      <c r="J12" s="7"/>
      <c r="K12" s="7"/>
      <c r="L12" s="7"/>
      <c r="M12" s="7"/>
      <c r="N12" s="7"/>
      <c r="O12" s="1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8"/>
    </row>
    <row r="13" customFormat="false" ht="14.25" hidden="false" customHeight="false" outlineLevel="0" collapsed="false">
      <c r="B13" s="36"/>
      <c r="C13" s="7" t="s">
        <v>53</v>
      </c>
      <c r="D13" s="7" t="n">
        <f aca="false">'Información completa'!M35</f>
        <v>1521100</v>
      </c>
      <c r="E13" s="7" t="n">
        <f aca="false">'Información completa'!N35</f>
        <v>749871</v>
      </c>
      <c r="F13" s="7" t="n">
        <f aca="false">'Información completa'!O35</f>
        <v>383876</v>
      </c>
      <c r="G13" s="7" t="n">
        <f aca="false">'Información completa'!P35</f>
        <v>270012</v>
      </c>
      <c r="H13" s="7" t="n">
        <f aca="false">'Información completa'!Q35</f>
        <v>231602</v>
      </c>
      <c r="I13" s="7" t="n">
        <f aca="false">'Información completa'!R35</f>
        <v>283263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38"/>
    </row>
    <row r="14" customFormat="false" ht="14.25" hidden="false" customHeight="false" outlineLevel="0" collapsed="false">
      <c r="B14" s="36"/>
      <c r="C14" s="15" t="s">
        <v>48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 t="s">
        <v>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38"/>
    </row>
    <row r="15" customFormat="false" ht="14.25" hidden="false" customHeight="false" outlineLevel="0" collapsed="false">
      <c r="B15" s="36"/>
      <c r="C15" s="7" t="s">
        <v>54</v>
      </c>
      <c r="D15" s="7" t="n">
        <v>1</v>
      </c>
      <c r="E15" s="7" t="n">
        <f aca="false">$D16/E16</f>
        <v>1.73053771448075</v>
      </c>
      <c r="F15" s="7" t="n">
        <f aca="false">$D16/F16</f>
        <v>3.43509354583485</v>
      </c>
      <c r="G15" s="7" t="n">
        <f aca="false">$D16/G16</f>
        <v>6.38005030321251</v>
      </c>
      <c r="H15" s="7" t="n">
        <f aca="false">$D16/H16</f>
        <v>6.25444139174391</v>
      </c>
      <c r="I15" s="7" t="n">
        <f aca="false">$D16/I16</f>
        <v>3.69263735983906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38"/>
    </row>
    <row r="16" customFormat="false" ht="14.25" hidden="false" customHeight="false" outlineLevel="0" collapsed="false">
      <c r="B16" s="36"/>
      <c r="C16" s="7" t="s">
        <v>55</v>
      </c>
      <c r="D16" s="7" t="n">
        <f aca="false">'Información completa'!U35</f>
        <v>4350333</v>
      </c>
      <c r="E16" s="7" t="n">
        <f aca="false">'Información completa'!V35</f>
        <v>2513862</v>
      </c>
      <c r="F16" s="7" t="n">
        <f aca="false">'Información completa'!W35</f>
        <v>1266438</v>
      </c>
      <c r="G16" s="7" t="n">
        <f aca="false">'Información completa'!X35</f>
        <v>681865</v>
      </c>
      <c r="H16" s="7" t="n">
        <f aca="false">'Información completa'!Y35</f>
        <v>695559</v>
      </c>
      <c r="I16" s="7" t="n">
        <f aca="false">'Información completa'!Z35</f>
        <v>1178110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8"/>
    </row>
    <row r="17" customFormat="false" ht="14.25" hidden="false" customHeight="false" outlineLevel="0" collapsed="false">
      <c r="B17" s="36"/>
      <c r="C17" s="15" t="s">
        <v>48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15" t="s">
        <v>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38"/>
    </row>
    <row r="18" customFormat="false" ht="14.25" hidden="false" customHeight="false" outlineLevel="0" collapsed="false">
      <c r="B18" s="36"/>
      <c r="C18" s="7" t="s">
        <v>56</v>
      </c>
      <c r="D18" s="7" t="n">
        <v>1</v>
      </c>
      <c r="E18" s="7" t="n">
        <f aca="false">$D19/E19</f>
        <v>2.06579509437103</v>
      </c>
      <c r="F18" s="7" t="n">
        <f aca="false">$D19/F19</f>
        <v>4.42510911030409</v>
      </c>
      <c r="G18" s="7" t="n">
        <f aca="false">$D19/G19</f>
        <v>8.90036323581998</v>
      </c>
      <c r="H18" s="7" t="n">
        <f aca="false">$D19/H19</f>
        <v>7.66319209906867</v>
      </c>
      <c r="I18" s="7" t="n">
        <f aca="false">$D19/I19</f>
        <v>7.20441826817262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38"/>
    </row>
    <row r="19" customFormat="false" ht="14.25" hidden="false" customHeight="false" outlineLevel="0" collapsed="false">
      <c r="B19" s="36"/>
      <c r="C19" s="7" t="s">
        <v>57</v>
      </c>
      <c r="D19" s="7" t="n">
        <f aca="false">'Información completa'!AC35</f>
        <v>35940984</v>
      </c>
      <c r="E19" s="7" t="n">
        <f aca="false">'Información completa'!AD35</f>
        <v>17398136</v>
      </c>
      <c r="F19" s="7" t="n">
        <f aca="false">'Información completa'!AE35</f>
        <v>8122056</v>
      </c>
      <c r="G19" s="7" t="n">
        <f aca="false">'Información completa'!AF35</f>
        <v>4038148</v>
      </c>
      <c r="H19" s="7" t="n">
        <f aca="false">'Información completa'!AG35</f>
        <v>4690080</v>
      </c>
      <c r="I19" s="7" t="n">
        <f aca="false">'Información completa'!AH35</f>
        <v>4988742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38"/>
    </row>
    <row r="20" customFormat="false" ht="14.25" hidden="false" customHeight="false" outlineLevel="0" collapsed="false">
      <c r="B20" s="3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38"/>
    </row>
    <row r="21" customFormat="false" ht="14.25" hidden="false" customHeight="false" outlineLevel="0" collapsed="false">
      <c r="B21" s="3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38"/>
    </row>
    <row r="22" customFormat="false" ht="14.25" hidden="false" customHeight="false" outlineLevel="0" collapsed="false">
      <c r="B22" s="3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38"/>
    </row>
    <row r="23" customFormat="false" ht="14.25" hidden="false" customHeight="false" outlineLevel="0" collapsed="false">
      <c r="B23" s="3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38"/>
    </row>
    <row r="24" customFormat="false" ht="14.25" hidden="false" customHeight="false" outlineLevel="0" collapsed="false">
      <c r="B24" s="3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38"/>
    </row>
    <row r="25" customFormat="false" ht="14.25" hidden="false" customHeight="false" outlineLevel="0" collapsed="false">
      <c r="B25" s="3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38"/>
    </row>
    <row r="26" customFormat="false" ht="14.25" hidden="false" customHeight="false" outlineLevel="0" collapsed="false">
      <c r="B26" s="3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38"/>
    </row>
    <row r="27" customFormat="false" ht="14.25" hidden="false" customHeight="false" outlineLevel="0" collapsed="false">
      <c r="B27" s="3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38"/>
    </row>
    <row r="28" customFormat="false" ht="14.25" hidden="false" customHeight="false" outlineLevel="0" collapsed="false">
      <c r="B28" s="3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38"/>
    </row>
    <row r="29" customFormat="false" ht="14.25" hidden="false" customHeight="false" outlineLevel="0" collapsed="false">
      <c r="B29" s="3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38"/>
    </row>
    <row r="30" customFormat="false" ht="14.25" hidden="false" customHeight="false" outlineLevel="0" collapsed="false">
      <c r="B30" s="3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38"/>
    </row>
    <row r="31" customFormat="false" ht="14.25" hidden="false" customHeight="false" outlineLevel="0" collapsed="false">
      <c r="B31" s="3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38"/>
    </row>
    <row r="32" customFormat="false" ht="14.25" hidden="false" customHeight="false" outlineLevel="0" collapsed="false">
      <c r="B32" s="3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8"/>
    </row>
    <row r="33" customFormat="false" ht="14.25" hidden="false" customHeight="false" outlineLevel="0" collapsed="false">
      <c r="B33" s="3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38"/>
    </row>
    <row r="34" customFormat="false" ht="14.25" hidden="false" customHeight="false" outlineLevel="0" collapsed="false">
      <c r="B34" s="3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38"/>
    </row>
    <row r="35" customFormat="false" ht="14.25" hidden="false" customHeight="false" outlineLevel="0" collapsed="false">
      <c r="B35" s="3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38"/>
    </row>
    <row r="36" customFormat="false" ht="14.25" hidden="false" customHeight="false" outlineLevel="0" collapsed="false">
      <c r="B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8"/>
    </row>
    <row r="37" customFormat="false" ht="14.25" hidden="false" customHeight="false" outlineLevel="0" collapsed="false">
      <c r="B37" s="3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38"/>
    </row>
    <row r="38" customFormat="false" ht="14.25" hidden="false" customHeight="false" outlineLevel="0" collapsed="false">
      <c r="B38" s="3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38"/>
    </row>
    <row r="39" customFormat="false" ht="14.25" hidden="false" customHeight="false" outlineLevel="0" collapsed="false">
      <c r="B39" s="3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38"/>
    </row>
    <row r="40" customFormat="false" ht="14.25" hidden="false" customHeight="false" outlineLevel="0" collapsed="false">
      <c r="B40" s="3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38"/>
    </row>
    <row r="41" customFormat="false" ht="14.25" hidden="false" customHeight="false" outlineLevel="0" collapsed="false">
      <c r="B41" s="3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38"/>
    </row>
    <row r="42" customFormat="false" ht="14.25" hidden="false" customHeight="false" outlineLevel="0" collapsed="false">
      <c r="B42" s="3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38"/>
    </row>
    <row r="43" customFormat="false" ht="14.25" hidden="false" customHeight="false" outlineLevel="0" collapsed="false">
      <c r="B43" s="3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38"/>
    </row>
    <row r="44" customFormat="false" ht="14.25" hidden="false" customHeight="false" outlineLevel="0" collapsed="false">
      <c r="B44" s="3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38"/>
    </row>
    <row r="45" customFormat="false" ht="14.25" hidden="false" customHeight="false" outlineLevel="0" collapsed="false">
      <c r="B45" s="3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38"/>
    </row>
    <row r="46" customFormat="false" ht="14.25" hidden="false" customHeight="false" outlineLevel="0" collapsed="false">
      <c r="B46" s="3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38"/>
    </row>
    <row r="47" customFormat="false" ht="14.25" hidden="false" customHeight="false" outlineLevel="0" collapsed="false">
      <c r="B47" s="3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38"/>
    </row>
    <row r="48" customFormat="false" ht="14.25" hidden="false" customHeight="false" outlineLevel="0" collapsed="false">
      <c r="B48" s="3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38"/>
    </row>
    <row r="49" customFormat="false" ht="14.25" hidden="false" customHeight="false" outlineLevel="0" collapsed="false">
      <c r="B49" s="3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38"/>
    </row>
    <row r="50" customFormat="false" ht="14.25" hidden="false" customHeight="false" outlineLevel="0" collapsed="false">
      <c r="B50" s="3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38"/>
    </row>
    <row r="51" customFormat="false" ht="14.25" hidden="false" customHeight="false" outlineLevel="0" collapsed="false">
      <c r="B51" s="3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38"/>
    </row>
    <row r="52" customFormat="false" ht="14.25" hidden="false" customHeight="false" outlineLevel="0" collapsed="false">
      <c r="B52" s="3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38"/>
    </row>
    <row r="53" customFormat="false" ht="14.25" hidden="false" customHeight="false" outlineLevel="0" collapsed="false">
      <c r="B53" s="3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38"/>
    </row>
    <row r="54" customFormat="false" ht="14.25" hidden="false" customHeight="false" outlineLevel="0" collapsed="false">
      <c r="B54" s="3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38"/>
    </row>
    <row r="55" customFormat="false" ht="14.25" hidden="false" customHeight="false" outlineLevel="0" collapsed="false">
      <c r="B55" s="3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38"/>
    </row>
    <row r="56" customFormat="false" ht="14.25" hidden="false" customHeight="false" outlineLevel="0" collapsed="false">
      <c r="B56" s="3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38"/>
    </row>
    <row r="57" customFormat="false" ht="14.25" hidden="false" customHeight="false" outlineLevel="0" collapsed="false">
      <c r="B57" s="3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38"/>
    </row>
    <row r="58" customFormat="false" ht="14.25" hidden="false" customHeight="false" outlineLevel="0" collapsed="false">
      <c r="B58" s="3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38"/>
    </row>
    <row r="59" customFormat="false" ht="14.25" hidden="false" customHeight="false" outlineLevel="0" collapsed="false">
      <c r="B59" s="3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38"/>
    </row>
    <row r="60" customFormat="false" ht="14.25" hidden="false" customHeight="false" outlineLevel="0" collapsed="false">
      <c r="B60" s="3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38"/>
    </row>
    <row r="61" customFormat="false" ht="14.25" hidden="false" customHeight="false" outlineLevel="0" collapsed="false">
      <c r="B61" s="3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38"/>
    </row>
    <row r="62" customFormat="false" ht="14.25" hidden="false" customHeight="false" outlineLevel="0" collapsed="false">
      <c r="B62" s="3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38"/>
    </row>
    <row r="63" customFormat="false" ht="14.25" hidden="false" customHeight="false" outlineLevel="0" collapsed="false">
      <c r="B63" s="3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38"/>
    </row>
    <row r="64" customFormat="false" ht="14.25" hidden="false" customHeight="false" outlineLevel="0" collapsed="false">
      <c r="B64" s="3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38"/>
    </row>
    <row r="65" customFormat="false" ht="14.25" hidden="false" customHeight="false" outlineLevel="0" collapsed="false">
      <c r="B65" s="3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38"/>
    </row>
    <row r="66" customFormat="false" ht="14.25" hidden="false" customHeight="false" outlineLevel="0" collapsed="false">
      <c r="B66" s="3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38"/>
    </row>
    <row r="67" customFormat="false" ht="14.25" hidden="false" customHeight="false" outlineLevel="0" collapsed="false">
      <c r="B67" s="3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38"/>
    </row>
    <row r="68" customFormat="false" ht="14.25" hidden="false" customHeight="false" outlineLevel="0" collapsed="false">
      <c r="B68" s="3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38"/>
    </row>
    <row r="69" customFormat="false" ht="14.25" hidden="false" customHeight="false" outlineLevel="0" collapsed="false">
      <c r="B69" s="3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38"/>
    </row>
    <row r="70" customFormat="false" ht="28.5" hidden="false" customHeight="true" outlineLevel="0" collapsed="false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3"/>
    </row>
    <row r="74" customFormat="false" ht="14.25" hidden="false" customHeight="false" outlineLevel="0" collapsed="false">
      <c r="B74" s="33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5"/>
    </row>
    <row r="75" customFormat="false" ht="33.85" hidden="false" customHeight="false" outlineLevel="0" collapsed="false">
      <c r="B75" s="36"/>
      <c r="C75" s="37" t="s">
        <v>58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38"/>
    </row>
    <row r="76" customFormat="false" ht="14.25" hidden="false" customHeight="false" outlineLevel="0" collapsed="false">
      <c r="B76" s="36"/>
      <c r="C76" s="15" t="s">
        <v>48</v>
      </c>
      <c r="D76" s="15" t="s">
        <v>2</v>
      </c>
      <c r="E76" s="15" t="s">
        <v>3</v>
      </c>
      <c r="F76" s="15" t="s">
        <v>4</v>
      </c>
      <c r="G76" s="15" t="s">
        <v>5</v>
      </c>
      <c r="H76" s="15" t="s">
        <v>6</v>
      </c>
      <c r="I76" s="15" t="s">
        <v>7</v>
      </c>
      <c r="J76" s="7"/>
      <c r="K76" s="39" t="s">
        <v>48</v>
      </c>
      <c r="L76" s="39"/>
      <c r="M76" s="15" t="s">
        <v>2</v>
      </c>
      <c r="N76" s="15" t="s">
        <v>3</v>
      </c>
      <c r="O76" s="15" t="s">
        <v>4</v>
      </c>
      <c r="P76" s="15" t="s">
        <v>5</v>
      </c>
      <c r="Q76" s="15" t="s">
        <v>6</v>
      </c>
      <c r="R76" s="15" t="s">
        <v>7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38"/>
    </row>
    <row r="77" customFormat="false" ht="14.25" hidden="false" customHeight="false" outlineLevel="0" collapsed="false">
      <c r="B77" s="36"/>
      <c r="C77" s="7" t="s">
        <v>49</v>
      </c>
      <c r="D77" s="7" t="n">
        <v>1</v>
      </c>
      <c r="E77" s="7" t="n">
        <f aca="false">$D78/E78</f>
        <v>1.79196212606727</v>
      </c>
      <c r="F77" s="7" t="n">
        <f aca="false">$D78/F78</f>
        <v>3.20451772708788</v>
      </c>
      <c r="G77" s="7" t="n">
        <f aca="false">$D78/G78</f>
        <v>4.81255899172728</v>
      </c>
      <c r="H77" s="7" t="n">
        <f aca="false">$D78/H78</f>
        <v>5.59978034756767</v>
      </c>
      <c r="I77" s="7" t="n">
        <f aca="false">$D78/I78</f>
        <v>5.27629656683711</v>
      </c>
      <c r="J77" s="7"/>
      <c r="K77" s="40" t="s">
        <v>50</v>
      </c>
      <c r="L77" s="40"/>
      <c r="M77" s="7" t="n">
        <f aca="false">(D77+D80+D83+D86)/4</f>
        <v>1</v>
      </c>
      <c r="N77" s="7" t="n">
        <f aca="false">(E77+E80+E83+E86)/4</f>
        <v>1.78226415887369</v>
      </c>
      <c r="O77" s="7" t="n">
        <f aca="false">(F77+F80+F83+F86)/4</f>
        <v>3.28297935875484</v>
      </c>
      <c r="P77" s="7" t="n">
        <f aca="false">(G77+G80+G83+G86)/4</f>
        <v>5.07262377432014</v>
      </c>
      <c r="Q77" s="7" t="n">
        <f aca="false">(H77+H80+H83+H86)/4</f>
        <v>6.17274885131312</v>
      </c>
      <c r="R77" s="7" t="n">
        <f aca="false">(I77+I80+I83+I86)/4</f>
        <v>9.21914173784543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38"/>
    </row>
    <row r="78" customFormat="false" ht="14.25" hidden="false" customHeight="false" outlineLevel="0" collapsed="false">
      <c r="B78" s="36"/>
      <c r="C78" s="7" t="s">
        <v>51</v>
      </c>
      <c r="D78" s="7" t="n">
        <f aca="false">'Información completa'!E71</f>
        <v>86679</v>
      </c>
      <c r="E78" s="7" t="n">
        <f aca="false">'Información completa'!F71</f>
        <v>48371</v>
      </c>
      <c r="F78" s="7" t="n">
        <f aca="false">'Información completa'!G71</f>
        <v>27049</v>
      </c>
      <c r="G78" s="7" t="n">
        <f aca="false">'Información completa'!H71</f>
        <v>18011</v>
      </c>
      <c r="H78" s="7" t="n">
        <f aca="false">'Información completa'!I71</f>
        <v>15479</v>
      </c>
      <c r="I78" s="7" t="n">
        <f aca="false">'Información completa'!J71</f>
        <v>16428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38"/>
    </row>
    <row r="79" customFormat="false" ht="14.25" hidden="false" customHeight="false" outlineLevel="0" collapsed="false">
      <c r="B79" s="36"/>
      <c r="C79" s="15" t="s">
        <v>48</v>
      </c>
      <c r="D79" s="15" t="s">
        <v>2</v>
      </c>
      <c r="E79" s="15" t="s">
        <v>3</v>
      </c>
      <c r="F79" s="15" t="s">
        <v>4</v>
      </c>
      <c r="G79" s="15" t="s">
        <v>5</v>
      </c>
      <c r="H79" s="15" t="s">
        <v>6</v>
      </c>
      <c r="I79" s="15" t="s">
        <v>7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38"/>
    </row>
    <row r="80" customFormat="false" ht="14.25" hidden="false" customHeight="false" outlineLevel="0" collapsed="false">
      <c r="B80" s="36"/>
      <c r="C80" s="7" t="s">
        <v>52</v>
      </c>
      <c r="D80" s="7" t="n">
        <v>1</v>
      </c>
      <c r="E80" s="7" t="n">
        <f aca="false">$D81/E81</f>
        <v>1.78806973601819</v>
      </c>
      <c r="F80" s="7" t="n">
        <f aca="false">$D81/F81</f>
        <v>3.14611602068982</v>
      </c>
      <c r="G80" s="7" t="n">
        <f aca="false">$D81/G81</f>
        <v>4.10430840145849</v>
      </c>
      <c r="H80" s="7" t="n">
        <f aca="false">$D81/H81</f>
        <v>7.19701270792985</v>
      </c>
      <c r="I80" s="7" t="n">
        <f aca="false">$D81/I81</f>
        <v>12.3746464738619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38"/>
    </row>
    <row r="81" customFormat="false" ht="14.25" hidden="false" customHeight="false" outlineLevel="0" collapsed="false">
      <c r="B81" s="36"/>
      <c r="C81" s="7" t="s">
        <v>53</v>
      </c>
      <c r="D81" s="7" t="n">
        <f aca="false">'Información completa'!M71</f>
        <v>813831</v>
      </c>
      <c r="E81" s="7" t="n">
        <f aca="false">'Información completa'!N71</f>
        <v>455145</v>
      </c>
      <c r="F81" s="7" t="n">
        <f aca="false">'Información completa'!O71</f>
        <v>258678</v>
      </c>
      <c r="G81" s="7" t="n">
        <f aca="false">'Información completa'!P71</f>
        <v>198287</v>
      </c>
      <c r="H81" s="7" t="n">
        <f aca="false">'Información completa'!Q71</f>
        <v>113079</v>
      </c>
      <c r="I81" s="7" t="n">
        <f aca="false">'Información completa'!R71</f>
        <v>65766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38"/>
    </row>
    <row r="82" customFormat="false" ht="14.25" hidden="false" customHeight="false" outlineLevel="0" collapsed="false">
      <c r="B82" s="36"/>
      <c r="C82" s="15" t="s">
        <v>48</v>
      </c>
      <c r="D82" s="15" t="s">
        <v>2</v>
      </c>
      <c r="E82" s="15" t="s">
        <v>3</v>
      </c>
      <c r="F82" s="15" t="s">
        <v>4</v>
      </c>
      <c r="G82" s="15" t="s">
        <v>5</v>
      </c>
      <c r="H82" s="15" t="s">
        <v>6</v>
      </c>
      <c r="I82" s="15" t="s">
        <v>7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38"/>
    </row>
    <row r="83" customFormat="false" ht="14.25" hidden="false" customHeight="false" outlineLevel="0" collapsed="false">
      <c r="B83" s="36"/>
      <c r="C83" s="7" t="s">
        <v>56</v>
      </c>
      <c r="D83" s="7" t="n">
        <v>1</v>
      </c>
      <c r="E83" s="7" t="n">
        <f aca="false">$D84/E84</f>
        <v>1.80923550225132</v>
      </c>
      <c r="F83" s="7" t="n">
        <f aca="false">$D84/F84</f>
        <v>3.50791176118161</v>
      </c>
      <c r="G83" s="7" t="n">
        <f aca="false">$D84/G84</f>
        <v>6.01239697399186</v>
      </c>
      <c r="H83" s="7" t="n">
        <f aca="false">$D84/H84</f>
        <v>6.3746859371635</v>
      </c>
      <c r="I83" s="7" t="n">
        <f aca="false">$D84/I84</f>
        <v>11.3081634732115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38"/>
    </row>
    <row r="84" customFormat="false" ht="14.25" hidden="false" customHeight="false" outlineLevel="0" collapsed="false">
      <c r="B84" s="36"/>
      <c r="C84" s="7" t="s">
        <v>57</v>
      </c>
      <c r="D84" s="7" t="n">
        <f aca="false">'Información completa'!U71</f>
        <v>2664045</v>
      </c>
      <c r="E84" s="7" t="n">
        <f aca="false">'Información completa'!V71</f>
        <v>1472470</v>
      </c>
      <c r="F84" s="7" t="n">
        <f aca="false">'Información completa'!W71</f>
        <v>759439</v>
      </c>
      <c r="G84" s="7" t="n">
        <f aca="false">'Información completa'!X71</f>
        <v>443092</v>
      </c>
      <c r="H84" s="7" t="n">
        <f aca="false">'Información completa'!Y71</f>
        <v>417910</v>
      </c>
      <c r="I84" s="7" t="n">
        <f aca="false">'Información completa'!Z71</f>
        <v>235586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38"/>
    </row>
    <row r="85" customFormat="false" ht="14.25" hidden="false" customHeight="false" outlineLevel="0" collapsed="false">
      <c r="B85" s="36"/>
      <c r="C85" s="15" t="s">
        <v>48</v>
      </c>
      <c r="D85" s="15" t="s">
        <v>2</v>
      </c>
      <c r="E85" s="15" t="s">
        <v>3</v>
      </c>
      <c r="F85" s="15" t="s">
        <v>4</v>
      </c>
      <c r="G85" s="15" t="s">
        <v>5</v>
      </c>
      <c r="H85" s="15" t="s">
        <v>6</v>
      </c>
      <c r="I85" s="15" t="s">
        <v>7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38"/>
    </row>
    <row r="86" customFormat="false" ht="14.25" hidden="false" customHeight="false" outlineLevel="0" collapsed="false">
      <c r="B86" s="36"/>
      <c r="C86" s="7" t="s">
        <v>59</v>
      </c>
      <c r="D86" s="7" t="n">
        <v>1</v>
      </c>
      <c r="E86" s="7" t="n">
        <f aca="false">$D87/E87</f>
        <v>1.73978927115796</v>
      </c>
      <c r="F86" s="7" t="n">
        <f aca="false">$D87/F87</f>
        <v>3.27337192606007</v>
      </c>
      <c r="G86" s="7" t="n">
        <f aca="false">$D87/G87</f>
        <v>5.36123073010295</v>
      </c>
      <c r="H86" s="7" t="n">
        <f aca="false">$D87/H87</f>
        <v>5.51951641259143</v>
      </c>
      <c r="I86" s="7" t="n">
        <f aca="false">$D87/I87</f>
        <v>7.91746043747127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38"/>
    </row>
    <row r="87" customFormat="false" ht="14.25" hidden="false" customHeight="false" outlineLevel="0" collapsed="false">
      <c r="B87" s="36"/>
      <c r="C87" s="7" t="s">
        <v>60</v>
      </c>
      <c r="D87" s="7" t="n">
        <f aca="false">'Información completa'!AC71</f>
        <v>6492563</v>
      </c>
      <c r="E87" s="7" t="n">
        <f aca="false">'Información completa'!AD71</f>
        <v>3731810</v>
      </c>
      <c r="F87" s="7" t="n">
        <f aca="false">'Información completa'!AE71</f>
        <v>1983448</v>
      </c>
      <c r="G87" s="7" t="n">
        <f aca="false">'Información completa'!AF71</f>
        <v>1211021</v>
      </c>
      <c r="H87" s="7" t="n">
        <f aca="false">'Información completa'!AG71</f>
        <v>1176292</v>
      </c>
      <c r="I87" s="7" t="n">
        <f aca="false">'Información completa'!AH71</f>
        <v>820031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38"/>
    </row>
    <row r="88" customFormat="false" ht="14.25" hidden="false" customHeight="false" outlineLevel="0" collapsed="false">
      <c r="B88" s="3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38"/>
    </row>
    <row r="89" customFormat="false" ht="14.25" hidden="false" customHeight="false" outlineLevel="0" collapsed="false">
      <c r="B89" s="3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38"/>
    </row>
    <row r="90" customFormat="false" ht="14.25" hidden="false" customHeight="false" outlineLevel="0" collapsed="false">
      <c r="B90" s="3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38"/>
    </row>
    <row r="91" customFormat="false" ht="14.25" hidden="false" customHeight="false" outlineLevel="0" collapsed="false">
      <c r="B91" s="3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38"/>
    </row>
    <row r="92" customFormat="false" ht="14.25" hidden="false" customHeight="false" outlineLevel="0" collapsed="false">
      <c r="B92" s="3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38"/>
    </row>
    <row r="93" customFormat="false" ht="14.25" hidden="false" customHeight="false" outlineLevel="0" collapsed="false">
      <c r="B93" s="3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38"/>
    </row>
    <row r="94" customFormat="false" ht="14.25" hidden="false" customHeight="false" outlineLevel="0" collapsed="false">
      <c r="B94" s="3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38"/>
    </row>
    <row r="95" customFormat="false" ht="14.25" hidden="false" customHeight="false" outlineLevel="0" collapsed="false">
      <c r="B95" s="3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38"/>
    </row>
    <row r="96" customFormat="false" ht="14.25" hidden="false" customHeight="false" outlineLevel="0" collapsed="false">
      <c r="B96" s="3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38"/>
    </row>
    <row r="97" customFormat="false" ht="14.25" hidden="false" customHeight="false" outlineLevel="0" collapsed="false">
      <c r="B97" s="3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38"/>
    </row>
    <row r="98" customFormat="false" ht="14.25" hidden="false" customHeight="false" outlineLevel="0" collapsed="false">
      <c r="B98" s="3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38"/>
    </row>
    <row r="99" customFormat="false" ht="14.25" hidden="false" customHeight="false" outlineLevel="0" collapsed="false">
      <c r="B99" s="3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38"/>
    </row>
    <row r="100" customFormat="false" ht="14.25" hidden="false" customHeight="false" outlineLevel="0" collapsed="false">
      <c r="B100" s="3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38"/>
    </row>
    <row r="101" customFormat="false" ht="14.25" hidden="false" customHeight="false" outlineLevel="0" collapsed="false">
      <c r="B101" s="3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38"/>
    </row>
    <row r="102" customFormat="false" ht="14.25" hidden="false" customHeight="false" outlineLevel="0" collapsed="false">
      <c r="B102" s="3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38"/>
    </row>
    <row r="103" customFormat="false" ht="14.25" hidden="false" customHeight="false" outlineLevel="0" collapsed="false">
      <c r="B103" s="3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38"/>
    </row>
    <row r="104" customFormat="false" ht="14.25" hidden="false" customHeight="false" outlineLevel="0" collapsed="false">
      <c r="B104" s="3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38"/>
    </row>
    <row r="105" customFormat="false" ht="14.25" hidden="false" customHeight="false" outlineLevel="0" collapsed="false">
      <c r="B105" s="3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38"/>
    </row>
    <row r="106" customFormat="false" ht="14.25" hidden="false" customHeight="false" outlineLevel="0" collapsed="false">
      <c r="B106" s="3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38"/>
    </row>
    <row r="107" customFormat="false" ht="14.25" hidden="false" customHeight="false" outlineLevel="0" collapsed="false">
      <c r="B107" s="3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38"/>
    </row>
    <row r="108" customFormat="false" ht="14.25" hidden="false" customHeight="false" outlineLevel="0" collapsed="false">
      <c r="B108" s="3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38"/>
    </row>
    <row r="109" customFormat="false" ht="14.25" hidden="false" customHeight="false" outlineLevel="0" collapsed="false">
      <c r="B109" s="3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38"/>
    </row>
    <row r="110" customFormat="false" ht="14.25" hidden="false" customHeight="false" outlineLevel="0" collapsed="false">
      <c r="B110" s="3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38"/>
    </row>
    <row r="111" customFormat="false" ht="14.25" hidden="false" customHeight="false" outlineLevel="0" collapsed="false">
      <c r="B111" s="3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38"/>
    </row>
    <row r="112" customFormat="false" ht="14.25" hidden="false" customHeight="false" outlineLevel="0" collapsed="false">
      <c r="B112" s="3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38"/>
    </row>
    <row r="113" customFormat="false" ht="14.25" hidden="false" customHeight="false" outlineLevel="0" collapsed="false">
      <c r="B113" s="3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38"/>
    </row>
    <row r="114" customFormat="false" ht="14.25" hidden="false" customHeight="false" outlineLevel="0" collapsed="false">
      <c r="B114" s="3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38"/>
    </row>
    <row r="115" customFormat="false" ht="14.25" hidden="false" customHeight="false" outlineLevel="0" collapsed="false">
      <c r="B115" s="3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38"/>
    </row>
    <row r="116" customFormat="false" ht="14.25" hidden="false" customHeight="false" outlineLevel="0" collapsed="false">
      <c r="B116" s="3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38"/>
    </row>
    <row r="117" customFormat="false" ht="14.25" hidden="false" customHeight="false" outlineLevel="0" collapsed="false">
      <c r="B117" s="3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38"/>
    </row>
    <row r="118" customFormat="false" ht="14.25" hidden="false" customHeight="false" outlineLevel="0" collapsed="false">
      <c r="B118" s="3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38"/>
    </row>
    <row r="119" customFormat="false" ht="14.25" hidden="false" customHeight="false" outlineLevel="0" collapsed="false">
      <c r="B119" s="3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38"/>
    </row>
    <row r="120" customFormat="false" ht="14.25" hidden="false" customHeight="false" outlineLevel="0" collapsed="false">
      <c r="B120" s="3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38"/>
    </row>
    <row r="121" customFormat="false" ht="14.25" hidden="false" customHeight="false" outlineLevel="0" collapsed="false">
      <c r="B121" s="3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38"/>
    </row>
    <row r="122" customFormat="false" ht="14.25" hidden="false" customHeight="false" outlineLevel="0" collapsed="false">
      <c r="B122" s="3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38"/>
    </row>
    <row r="123" customFormat="false" ht="14.25" hidden="false" customHeight="false" outlineLevel="0" collapsed="false">
      <c r="B123" s="3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38"/>
    </row>
    <row r="124" customFormat="false" ht="14.25" hidden="false" customHeight="false" outlineLevel="0" collapsed="false">
      <c r="B124" s="3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38"/>
    </row>
    <row r="125" customFormat="false" ht="14.25" hidden="false" customHeight="false" outlineLevel="0" collapsed="false">
      <c r="B125" s="3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38"/>
    </row>
    <row r="126" customFormat="false" ht="14.25" hidden="false" customHeight="false" outlineLevel="0" collapsed="false">
      <c r="B126" s="3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38"/>
    </row>
    <row r="127" customFormat="false" ht="14.25" hidden="false" customHeight="false" outlineLevel="0" collapsed="false">
      <c r="B127" s="3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38"/>
    </row>
    <row r="128" customFormat="false" ht="14.25" hidden="false" customHeight="false" outlineLevel="0" collapsed="false">
      <c r="B128" s="3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38"/>
    </row>
    <row r="129" customFormat="false" ht="14.25" hidden="false" customHeight="false" outlineLevel="0" collapsed="false">
      <c r="B129" s="3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38"/>
    </row>
    <row r="130" customFormat="false" ht="14.25" hidden="false" customHeight="false" outlineLevel="0" collapsed="false">
      <c r="B130" s="3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38"/>
    </row>
    <row r="131" customFormat="false" ht="14.25" hidden="false" customHeight="false" outlineLevel="0" collapsed="false">
      <c r="B131" s="3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38"/>
    </row>
    <row r="132" customFormat="false" ht="14.25" hidden="false" customHeight="false" outlineLevel="0" collapsed="false">
      <c r="B132" s="3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38"/>
    </row>
    <row r="133" customFormat="false" ht="14.25" hidden="false" customHeight="false" outlineLevel="0" collapsed="false">
      <c r="B133" s="3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38"/>
    </row>
    <row r="134" customFormat="false" ht="14.25" hidden="false" customHeight="false" outlineLevel="0" collapsed="false">
      <c r="B134" s="3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38"/>
    </row>
    <row r="135" customFormat="false" ht="14.25" hidden="false" customHeight="false" outlineLevel="0" collapsed="false">
      <c r="B135" s="3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38"/>
    </row>
    <row r="136" customFormat="false" ht="14.25" hidden="false" customHeight="false" outlineLevel="0" collapsed="false">
      <c r="B136" s="3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38"/>
    </row>
    <row r="137" customFormat="false" ht="14.25" hidden="false" customHeight="false" outlineLevel="0" collapsed="false">
      <c r="B137" s="3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38"/>
    </row>
    <row r="138" customFormat="false" ht="28.5" hidden="false" customHeight="true" outlineLevel="0" collapsed="false"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3"/>
    </row>
    <row r="142" customFormat="false" ht="14.25" hidden="false" customHeight="false" outlineLevel="0" collapsed="false">
      <c r="B142" s="33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5"/>
    </row>
    <row r="143" customFormat="false" ht="33.85" hidden="false" customHeight="false" outlineLevel="0" collapsed="false">
      <c r="B143" s="36"/>
      <c r="C143" s="37" t="s">
        <v>61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38"/>
    </row>
    <row r="144" customFormat="false" ht="14.25" hidden="false" customHeight="false" outlineLevel="0" collapsed="false">
      <c r="B144" s="36"/>
      <c r="C144" s="15" t="s">
        <v>48</v>
      </c>
      <c r="D144" s="15" t="s">
        <v>2</v>
      </c>
      <c r="E144" s="15" t="s">
        <v>3</v>
      </c>
      <c r="F144" s="15" t="s">
        <v>4</v>
      </c>
      <c r="G144" s="15" t="s">
        <v>5</v>
      </c>
      <c r="H144" s="15" t="s">
        <v>6</v>
      </c>
      <c r="I144" s="15" t="s">
        <v>7</v>
      </c>
      <c r="J144" s="7"/>
      <c r="K144" s="39" t="s">
        <v>48</v>
      </c>
      <c r="L144" s="39"/>
      <c r="M144" s="15" t="s">
        <v>2</v>
      </c>
      <c r="N144" s="15" t="s">
        <v>3</v>
      </c>
      <c r="O144" s="15" t="s">
        <v>4</v>
      </c>
      <c r="P144" s="15" t="s">
        <v>5</v>
      </c>
      <c r="Q144" s="15" t="s">
        <v>6</v>
      </c>
      <c r="R144" s="15" t="s">
        <v>7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38"/>
    </row>
    <row r="145" customFormat="false" ht="14.25" hidden="false" customHeight="false" outlineLevel="0" collapsed="false">
      <c r="B145" s="36"/>
      <c r="C145" s="7" t="s">
        <v>49</v>
      </c>
      <c r="D145" s="7" t="n">
        <v>1</v>
      </c>
      <c r="E145" s="7" t="n">
        <f aca="false">$D146/E146</f>
        <v>1.87590109573241</v>
      </c>
      <c r="F145" s="7" t="n">
        <f aca="false">$D146/F146</f>
        <v>3.3032909142839</v>
      </c>
      <c r="G145" s="7" t="n">
        <f aca="false">$D146/G146</f>
        <v>5.17886462013036</v>
      </c>
      <c r="H145" s="7" t="n">
        <f aca="false">$D146/H146</f>
        <v>4.9554867888598</v>
      </c>
      <c r="I145" s="7" t="n">
        <f aca="false">$D146/I146</f>
        <v>6.64814459985949</v>
      </c>
      <c r="J145" s="7"/>
      <c r="K145" s="40" t="s">
        <v>50</v>
      </c>
      <c r="L145" s="40"/>
      <c r="M145" s="7" t="n">
        <f aca="false">(D145+D148+D151+D154)/4</f>
        <v>1</v>
      </c>
      <c r="N145" s="7" t="n">
        <f aca="false">(E145+E148+E151+E154)/4</f>
        <v>1.91934481453909</v>
      </c>
      <c r="O145" s="7" t="n">
        <f aca="false">(F145+F148+F151+F154)/4</f>
        <v>3.82579530756418</v>
      </c>
      <c r="P145" s="7" t="n">
        <f aca="false">(G145+G148+G151+G154)/4</f>
        <v>6.67443386269791</v>
      </c>
      <c r="Q145" s="7" t="n">
        <f aca="false">(H145+H148+H151+H154)/4</f>
        <v>6.24478909808616</v>
      </c>
      <c r="R145" s="7" t="n">
        <f aca="false">(I145+I148+I151+I154)/4</f>
        <v>5.95172593694972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38"/>
    </row>
    <row r="146" customFormat="false" ht="14.25" hidden="false" customHeight="false" outlineLevel="0" collapsed="false">
      <c r="B146" s="36"/>
      <c r="C146" s="7" t="s">
        <v>51</v>
      </c>
      <c r="D146" s="7" t="n">
        <f aca="false">'Información completa'!E107</f>
        <v>104090</v>
      </c>
      <c r="E146" s="7" t="n">
        <f aca="false">'Información completa'!F107</f>
        <v>55488</v>
      </c>
      <c r="F146" s="7" t="n">
        <f aca="false">'Información completa'!G107</f>
        <v>31511</v>
      </c>
      <c r="G146" s="7" t="n">
        <f aca="false">'Información completa'!H107</f>
        <v>20099</v>
      </c>
      <c r="H146" s="7" t="n">
        <f aca="false">'Información completa'!I107</f>
        <v>21005</v>
      </c>
      <c r="I146" s="7" t="n">
        <f aca="false">'Información completa'!J107</f>
        <v>15657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38"/>
    </row>
    <row r="147" customFormat="false" ht="14.25" hidden="false" customHeight="false" outlineLevel="0" collapsed="false">
      <c r="B147" s="36"/>
      <c r="C147" s="15" t="s">
        <v>48</v>
      </c>
      <c r="D147" s="15" t="s">
        <v>2</v>
      </c>
      <c r="E147" s="15" t="s">
        <v>3</v>
      </c>
      <c r="F147" s="15" t="s">
        <v>4</v>
      </c>
      <c r="G147" s="15" t="s">
        <v>5</v>
      </c>
      <c r="H147" s="15" t="s">
        <v>6</v>
      </c>
      <c r="I147" s="15" t="s">
        <v>7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38"/>
    </row>
    <row r="148" customFormat="false" ht="14.25" hidden="false" customHeight="false" outlineLevel="0" collapsed="false">
      <c r="B148" s="36"/>
      <c r="C148" s="7" t="s">
        <v>52</v>
      </c>
      <c r="D148" s="7" t="n">
        <v>1</v>
      </c>
      <c r="E148" s="7" t="n">
        <f aca="false">$D149/E149</f>
        <v>1.72386344997961</v>
      </c>
      <c r="F148" s="7" t="n">
        <f aca="false">$D149/F149</f>
        <v>3.49203184908146</v>
      </c>
      <c r="G148" s="7" t="n">
        <f aca="false">$D149/G149</f>
        <v>4.73353739707137</v>
      </c>
      <c r="H148" s="7" t="n">
        <f aca="false">$D149/H149</f>
        <v>4.69543524500075</v>
      </c>
      <c r="I148" s="7" t="n">
        <f aca="false">$D149/I149</f>
        <v>4.53722140297527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38"/>
    </row>
    <row r="149" customFormat="false" ht="14.25" hidden="false" customHeight="false" outlineLevel="0" collapsed="false">
      <c r="B149" s="36"/>
      <c r="C149" s="7" t="s">
        <v>53</v>
      </c>
      <c r="D149" s="7" t="n">
        <f aca="false">'Información completa'!M107</f>
        <v>1187654</v>
      </c>
      <c r="E149" s="7" t="n">
        <f aca="false">'Información completa'!N107</f>
        <v>688949</v>
      </c>
      <c r="F149" s="7" t="n">
        <f aca="false">'Información completa'!O107</f>
        <v>340104</v>
      </c>
      <c r="G149" s="7" t="n">
        <f aca="false">'Información completa'!P107</f>
        <v>250902</v>
      </c>
      <c r="H149" s="7" t="n">
        <f aca="false">'Información completa'!Q107</f>
        <v>252938</v>
      </c>
      <c r="I149" s="7" t="n">
        <f aca="false">'Información completa'!R107</f>
        <v>261758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38"/>
    </row>
    <row r="150" customFormat="false" ht="14.25" hidden="false" customHeight="false" outlineLevel="0" collapsed="false">
      <c r="B150" s="36"/>
      <c r="C150" s="15" t="s">
        <v>48</v>
      </c>
      <c r="D150" s="15" t="s">
        <v>2</v>
      </c>
      <c r="E150" s="15" t="s">
        <v>3</v>
      </c>
      <c r="F150" s="15" t="s">
        <v>4</v>
      </c>
      <c r="G150" s="15" t="s">
        <v>5</v>
      </c>
      <c r="H150" s="15" t="s">
        <v>6</v>
      </c>
      <c r="I150" s="15" t="s">
        <v>7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38"/>
    </row>
    <row r="151" customFormat="false" ht="14.25" hidden="false" customHeight="false" outlineLevel="0" collapsed="false">
      <c r="B151" s="36"/>
      <c r="C151" s="7" t="s">
        <v>56</v>
      </c>
      <c r="D151" s="7" t="n">
        <v>1</v>
      </c>
      <c r="E151" s="7" t="n">
        <f aca="false">$D152/E152</f>
        <v>1.75345730223587</v>
      </c>
      <c r="F151" s="7" t="n">
        <f aca="false">$D152/F152</f>
        <v>3.54763567949184</v>
      </c>
      <c r="G151" s="7" t="n">
        <f aca="false">$D152/G152</f>
        <v>6.64651438060658</v>
      </c>
      <c r="H151" s="7" t="n">
        <f aca="false">$D152/H152</f>
        <v>6.5786706467719</v>
      </c>
      <c r="I151" s="7" t="n">
        <f aca="false">$D152/I152</f>
        <v>4.02522154716227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38"/>
    </row>
    <row r="152" customFormat="false" ht="14.25" hidden="false" customHeight="false" outlineLevel="0" collapsed="false">
      <c r="B152" s="36"/>
      <c r="C152" s="7" t="s">
        <v>57</v>
      </c>
      <c r="D152" s="7" t="n">
        <f aca="false">'Información completa'!U107</f>
        <v>4570788</v>
      </c>
      <c r="E152" s="7" t="n">
        <f aca="false">'Información completa'!V107</f>
        <v>2606729</v>
      </c>
      <c r="F152" s="7" t="n">
        <f aca="false">'Información completa'!W107</f>
        <v>1288404</v>
      </c>
      <c r="G152" s="7" t="n">
        <f aca="false">'Información completa'!X107</f>
        <v>687697</v>
      </c>
      <c r="H152" s="7" t="n">
        <f aca="false">'Información completa'!Y107</f>
        <v>694789</v>
      </c>
      <c r="I152" s="7" t="n">
        <f aca="false">'Información completa'!Z107</f>
        <v>1135537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38"/>
    </row>
    <row r="153" customFormat="false" ht="14.25" hidden="false" customHeight="false" outlineLevel="0" collapsed="false">
      <c r="B153" s="36"/>
      <c r="C153" s="15" t="s">
        <v>48</v>
      </c>
      <c r="D153" s="15" t="s">
        <v>2</v>
      </c>
      <c r="E153" s="15" t="s">
        <v>3</v>
      </c>
      <c r="F153" s="15" t="s">
        <v>4</v>
      </c>
      <c r="G153" s="15" t="s">
        <v>5</v>
      </c>
      <c r="H153" s="15" t="s">
        <v>6</v>
      </c>
      <c r="I153" s="15" t="s">
        <v>7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38"/>
    </row>
    <row r="154" customFormat="false" ht="14.25" hidden="false" customHeight="false" outlineLevel="0" collapsed="false">
      <c r="B154" s="36"/>
      <c r="C154" s="7" t="s">
        <v>59</v>
      </c>
      <c r="D154" s="7" t="n">
        <v>1</v>
      </c>
      <c r="E154" s="7" t="n">
        <f aca="false">$D155/E155</f>
        <v>2.32415741020848</v>
      </c>
      <c r="F154" s="7" t="n">
        <f aca="false">$D155/F155</f>
        <v>4.96022278739952</v>
      </c>
      <c r="G154" s="7" t="n">
        <f aca="false">$D155/G155</f>
        <v>10.1388190529834</v>
      </c>
      <c r="H154" s="7" t="n">
        <f aca="false">$D155/H155</f>
        <v>8.7495637117122</v>
      </c>
      <c r="I154" s="7" t="n">
        <f aca="false">$D155/I155</f>
        <v>8.59631619780186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38"/>
    </row>
    <row r="155" customFormat="false" ht="14.25" hidden="false" customHeight="false" outlineLevel="0" collapsed="false">
      <c r="B155" s="36"/>
      <c r="C155" s="7" t="s">
        <v>60</v>
      </c>
      <c r="D155" s="7" t="n">
        <f aca="false">'Información completa'!AC107</f>
        <v>40465061</v>
      </c>
      <c r="E155" s="7" t="n">
        <f aca="false">'Información completa'!AD107</f>
        <v>17410637</v>
      </c>
      <c r="F155" s="7" t="n">
        <f aca="false">'Información completa'!AE107</f>
        <v>8157912</v>
      </c>
      <c r="G155" s="7" t="n">
        <f aca="false">'Información completa'!AF107</f>
        <v>3991102</v>
      </c>
      <c r="H155" s="7" t="n">
        <f aca="false">'Información completa'!AG107</f>
        <v>4624809</v>
      </c>
      <c r="I155" s="7" t="n">
        <f aca="false">'Información completa'!AH107</f>
        <v>4707256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38"/>
    </row>
    <row r="156" customFormat="false" ht="14.25" hidden="false" customHeight="false" outlineLevel="0" collapsed="false">
      <c r="B156" s="3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38"/>
    </row>
    <row r="157" customFormat="false" ht="14.25" hidden="false" customHeight="false" outlineLevel="0" collapsed="false">
      <c r="B157" s="3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38"/>
    </row>
    <row r="158" customFormat="false" ht="14.25" hidden="false" customHeight="false" outlineLevel="0" collapsed="false">
      <c r="B158" s="3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38"/>
    </row>
    <row r="159" customFormat="false" ht="14.25" hidden="false" customHeight="false" outlineLevel="0" collapsed="false">
      <c r="B159" s="3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38"/>
    </row>
    <row r="160" customFormat="false" ht="14.25" hidden="false" customHeight="false" outlineLevel="0" collapsed="false">
      <c r="B160" s="3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38"/>
    </row>
    <row r="161" customFormat="false" ht="14.25" hidden="false" customHeight="false" outlineLevel="0" collapsed="false">
      <c r="B161" s="3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38"/>
    </row>
    <row r="162" customFormat="false" ht="14.25" hidden="false" customHeight="false" outlineLevel="0" collapsed="false">
      <c r="B162" s="3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38"/>
    </row>
    <row r="163" customFormat="false" ht="14.25" hidden="false" customHeight="false" outlineLevel="0" collapsed="false">
      <c r="B163" s="3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38"/>
    </row>
    <row r="164" customFormat="false" ht="14.25" hidden="false" customHeight="false" outlineLevel="0" collapsed="false">
      <c r="B164" s="3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38"/>
    </row>
    <row r="165" customFormat="false" ht="14.25" hidden="false" customHeight="false" outlineLevel="0" collapsed="false">
      <c r="B165" s="3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38"/>
    </row>
    <row r="166" customFormat="false" ht="14.25" hidden="false" customHeight="false" outlineLevel="0" collapsed="false">
      <c r="B166" s="3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38"/>
    </row>
    <row r="167" customFormat="false" ht="14.25" hidden="false" customHeight="false" outlineLevel="0" collapsed="false">
      <c r="B167" s="3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38"/>
    </row>
    <row r="168" customFormat="false" ht="14.25" hidden="false" customHeight="false" outlineLevel="0" collapsed="false">
      <c r="B168" s="3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38"/>
    </row>
    <row r="169" customFormat="false" ht="14.25" hidden="false" customHeight="false" outlineLevel="0" collapsed="false">
      <c r="B169" s="3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38"/>
    </row>
    <row r="170" customFormat="false" ht="14.25" hidden="false" customHeight="false" outlineLevel="0" collapsed="false">
      <c r="B170" s="3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38"/>
    </row>
    <row r="171" customFormat="false" ht="14.25" hidden="false" customHeight="false" outlineLevel="0" collapsed="false">
      <c r="B171" s="3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38"/>
    </row>
    <row r="172" customFormat="false" ht="14.25" hidden="false" customHeight="false" outlineLevel="0" collapsed="false">
      <c r="B172" s="3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38"/>
    </row>
    <row r="173" customFormat="false" ht="14.25" hidden="false" customHeight="false" outlineLevel="0" collapsed="false">
      <c r="B173" s="3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38"/>
    </row>
    <row r="174" customFormat="false" ht="14.25" hidden="false" customHeight="false" outlineLevel="0" collapsed="false">
      <c r="B174" s="3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38"/>
    </row>
    <row r="175" customFormat="false" ht="14.25" hidden="false" customHeight="false" outlineLevel="0" collapsed="false">
      <c r="B175" s="3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38"/>
    </row>
    <row r="176" customFormat="false" ht="14.25" hidden="false" customHeight="false" outlineLevel="0" collapsed="false">
      <c r="B176" s="3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38"/>
    </row>
    <row r="177" customFormat="false" ht="14.25" hidden="false" customHeight="false" outlineLevel="0" collapsed="false">
      <c r="B177" s="3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38"/>
    </row>
    <row r="178" customFormat="false" ht="14.25" hidden="false" customHeight="false" outlineLevel="0" collapsed="false">
      <c r="B178" s="3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38"/>
    </row>
    <row r="179" customFormat="false" ht="14.25" hidden="false" customHeight="false" outlineLevel="0" collapsed="false">
      <c r="B179" s="3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38"/>
    </row>
    <row r="180" customFormat="false" ht="14.25" hidden="false" customHeight="false" outlineLevel="0" collapsed="false">
      <c r="B180" s="3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38"/>
    </row>
    <row r="181" customFormat="false" ht="14.25" hidden="false" customHeight="false" outlineLevel="0" collapsed="false">
      <c r="B181" s="3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38"/>
    </row>
    <row r="182" customFormat="false" ht="14.25" hidden="false" customHeight="false" outlineLevel="0" collapsed="false">
      <c r="B182" s="3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38"/>
    </row>
    <row r="183" customFormat="false" ht="14.25" hidden="false" customHeight="false" outlineLevel="0" collapsed="false">
      <c r="B183" s="3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38"/>
    </row>
    <row r="184" customFormat="false" ht="14.25" hidden="false" customHeight="false" outlineLevel="0" collapsed="false">
      <c r="B184" s="3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38"/>
    </row>
    <row r="185" customFormat="false" ht="14.25" hidden="false" customHeight="false" outlineLevel="0" collapsed="false">
      <c r="B185" s="3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38"/>
    </row>
    <row r="186" customFormat="false" ht="14.25" hidden="false" customHeight="false" outlineLevel="0" collapsed="false">
      <c r="B186" s="3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38"/>
    </row>
    <row r="187" customFormat="false" ht="14.25" hidden="false" customHeight="false" outlineLevel="0" collapsed="false">
      <c r="B187" s="3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38"/>
    </row>
    <row r="188" customFormat="false" ht="14.25" hidden="false" customHeight="false" outlineLevel="0" collapsed="false">
      <c r="B188" s="3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38"/>
    </row>
    <row r="189" customFormat="false" ht="14.25" hidden="false" customHeight="false" outlineLevel="0" collapsed="false">
      <c r="B189" s="3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38"/>
    </row>
    <row r="190" customFormat="false" ht="14.25" hidden="false" customHeight="false" outlineLevel="0" collapsed="false">
      <c r="B190" s="3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38"/>
    </row>
    <row r="191" customFormat="false" ht="14.25" hidden="false" customHeight="false" outlineLevel="0" collapsed="false">
      <c r="B191" s="3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38"/>
    </row>
    <row r="192" customFormat="false" ht="14.25" hidden="false" customHeight="false" outlineLevel="0" collapsed="false">
      <c r="B192" s="3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38"/>
    </row>
    <row r="193" customFormat="false" ht="14.25" hidden="false" customHeight="false" outlineLevel="0" collapsed="false">
      <c r="B193" s="3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38"/>
    </row>
    <row r="194" customFormat="false" ht="14.25" hidden="false" customHeight="false" outlineLevel="0" collapsed="false">
      <c r="B194" s="3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38"/>
    </row>
    <row r="195" customFormat="false" ht="14.25" hidden="false" customHeight="false" outlineLevel="0" collapsed="false">
      <c r="B195" s="3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38"/>
    </row>
    <row r="196" customFormat="false" ht="14.25" hidden="false" customHeight="false" outlineLevel="0" collapsed="false">
      <c r="B196" s="3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38"/>
    </row>
    <row r="197" customFormat="false" ht="14.25" hidden="false" customHeight="false" outlineLevel="0" collapsed="false">
      <c r="B197" s="3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38"/>
    </row>
    <row r="198" customFormat="false" ht="14.25" hidden="false" customHeight="false" outlineLevel="0" collapsed="false">
      <c r="B198" s="3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38"/>
    </row>
    <row r="199" customFormat="false" ht="14.25" hidden="false" customHeight="false" outlineLevel="0" collapsed="false">
      <c r="B199" s="3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38"/>
    </row>
    <row r="200" customFormat="false" ht="14.25" hidden="false" customHeight="false" outlineLevel="0" collapsed="false">
      <c r="B200" s="3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38"/>
    </row>
    <row r="201" customFormat="false" ht="14.25" hidden="false" customHeight="false" outlineLevel="0" collapsed="false">
      <c r="B201" s="3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38"/>
    </row>
    <row r="202" customFormat="false" ht="14.25" hidden="false" customHeight="false" outlineLevel="0" collapsed="false">
      <c r="B202" s="3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38"/>
    </row>
    <row r="203" customFormat="false" ht="14.25" hidden="false" customHeight="false" outlineLevel="0" collapsed="false">
      <c r="B203" s="3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38"/>
    </row>
    <row r="204" customFormat="false" ht="14.25" hidden="false" customHeight="false" outlineLevel="0" collapsed="false">
      <c r="B204" s="3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38"/>
    </row>
    <row r="205" customFormat="false" ht="14.25" hidden="false" customHeight="false" outlineLevel="0" collapsed="false">
      <c r="B205" s="3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38"/>
    </row>
    <row r="206" customFormat="false" ht="30" hidden="false" customHeight="true" outlineLevel="0" collapsed="false">
      <c r="B206" s="41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3"/>
    </row>
    <row r="210" customFormat="false" ht="14.25" hidden="false" customHeight="false" outlineLevel="0" collapsed="false">
      <c r="B210" s="33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5"/>
    </row>
    <row r="211" customFormat="false" ht="33.85" hidden="false" customHeight="false" outlineLevel="0" collapsed="false">
      <c r="B211" s="36"/>
      <c r="C211" s="37" t="s">
        <v>62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38"/>
    </row>
    <row r="212" customFormat="false" ht="14.25" hidden="false" customHeight="false" outlineLevel="0" collapsed="false">
      <c r="B212" s="36"/>
      <c r="C212" s="15" t="s">
        <v>48</v>
      </c>
      <c r="D212" s="15" t="s">
        <v>2</v>
      </c>
      <c r="E212" s="15" t="s">
        <v>3</v>
      </c>
      <c r="F212" s="15" t="s">
        <v>4</v>
      </c>
      <c r="G212" s="15" t="s">
        <v>5</v>
      </c>
      <c r="H212" s="15" t="s">
        <v>6</v>
      </c>
      <c r="I212" s="15" t="s">
        <v>7</v>
      </c>
      <c r="J212" s="7"/>
      <c r="K212" s="39" t="s">
        <v>48</v>
      </c>
      <c r="L212" s="39"/>
      <c r="M212" s="15" t="s">
        <v>2</v>
      </c>
      <c r="N212" s="15" t="s">
        <v>3</v>
      </c>
      <c r="O212" s="15" t="s">
        <v>4</v>
      </c>
      <c r="P212" s="15" t="s">
        <v>5</v>
      </c>
      <c r="Q212" s="15" t="s">
        <v>6</v>
      </c>
      <c r="R212" s="15" t="s">
        <v>7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38"/>
    </row>
    <row r="213" customFormat="false" ht="14.25" hidden="false" customHeight="false" outlineLevel="0" collapsed="false">
      <c r="B213" s="36"/>
      <c r="C213" s="7" t="s">
        <v>49</v>
      </c>
      <c r="D213" s="7" t="n">
        <v>1</v>
      </c>
      <c r="E213" s="7" t="n">
        <f aca="false">$D214/E214</f>
        <v>1.79147996081782</v>
      </c>
      <c r="F213" s="7" t="n">
        <f aca="false">$D214/F214</f>
        <v>3.13906438301136</v>
      </c>
      <c r="G213" s="7" t="n">
        <f aca="false">$D214/G214</f>
        <v>4.77618491970884</v>
      </c>
      <c r="H213" s="7" t="n">
        <f aca="false">$D214/H214</f>
        <v>5.54310956342297</v>
      </c>
      <c r="I213" s="7" t="n">
        <f aca="false">$D214/I214</f>
        <v>8.56060153371178</v>
      </c>
      <c r="J213" s="7"/>
      <c r="K213" s="40" t="s">
        <v>50</v>
      </c>
      <c r="L213" s="40"/>
      <c r="M213" s="7" t="n">
        <f aca="false">(D213+D216+D219+D222)/4</f>
        <v>1</v>
      </c>
      <c r="N213" s="7" t="n">
        <f aca="false">(E213+E216+E219+E222)/4</f>
        <v>1.78425844880723</v>
      </c>
      <c r="O213" s="7" t="n">
        <f aca="false">(F213+F216+F219+F222)/4</f>
        <v>3.29720905921438</v>
      </c>
      <c r="P213" s="7" t="n">
        <f aca="false">(G213+G216+G219+G222)/4</f>
        <v>5.30951004070552</v>
      </c>
      <c r="Q213" s="7" t="n">
        <f aca="false">(H213+H216+H219+H222)/4</f>
        <v>6.20062459523052</v>
      </c>
      <c r="R213" s="7" t="n">
        <f aca="false">(I213+I216+I219+I222)/4</f>
        <v>11.1830701657325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38"/>
    </row>
    <row r="214" customFormat="false" ht="14.25" hidden="false" customHeight="false" outlineLevel="0" collapsed="false">
      <c r="B214" s="36"/>
      <c r="C214" s="7" t="s">
        <v>51</v>
      </c>
      <c r="D214" s="7" t="n">
        <f aca="false">'Información completa'!E143</f>
        <v>85957</v>
      </c>
      <c r="E214" s="7" t="n">
        <f aca="false">'Información completa'!F143</f>
        <v>47981</v>
      </c>
      <c r="F214" s="7" t="n">
        <f aca="false">'Información completa'!G143</f>
        <v>27383</v>
      </c>
      <c r="G214" s="7" t="n">
        <f aca="false">'Información completa'!H143</f>
        <v>17997</v>
      </c>
      <c r="H214" s="7" t="n">
        <f aca="false">'Información completa'!I143</f>
        <v>15507</v>
      </c>
      <c r="I214" s="7" t="n">
        <f aca="false">'Información completa'!J143</f>
        <v>10041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38"/>
    </row>
    <row r="215" customFormat="false" ht="14.25" hidden="false" customHeight="false" outlineLevel="0" collapsed="false">
      <c r="B215" s="36"/>
      <c r="C215" s="15" t="s">
        <v>48</v>
      </c>
      <c r="D215" s="15" t="s">
        <v>2</v>
      </c>
      <c r="E215" s="15" t="s">
        <v>3</v>
      </c>
      <c r="F215" s="15" t="s">
        <v>4</v>
      </c>
      <c r="G215" s="15" t="s">
        <v>5</v>
      </c>
      <c r="H215" s="15" t="s">
        <v>6</v>
      </c>
      <c r="I215" s="15" t="s">
        <v>7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38"/>
    </row>
    <row r="216" customFormat="false" ht="14.25" hidden="false" customHeight="false" outlineLevel="0" collapsed="false">
      <c r="B216" s="36"/>
      <c r="C216" s="7" t="s">
        <v>52</v>
      </c>
      <c r="D216" s="7" t="n">
        <v>1</v>
      </c>
      <c r="E216" s="7" t="n">
        <f aca="false">$D217/E217</f>
        <v>1.79876753592499</v>
      </c>
      <c r="F216" s="7" t="n">
        <f aca="false">$D217/F217</f>
        <v>3.29699040103929</v>
      </c>
      <c r="G216" s="7" t="n">
        <f aca="false">$D217/G217</f>
        <v>5.39469765061703</v>
      </c>
      <c r="H216" s="7" t="n">
        <f aca="false">$D217/H217</f>
        <v>7.4327346355838</v>
      </c>
      <c r="I216" s="7" t="n">
        <f aca="false">$D217/I217</f>
        <v>15.3871891315332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38"/>
    </row>
    <row r="217" customFormat="false" ht="14.25" hidden="false" customHeight="false" outlineLevel="0" collapsed="false">
      <c r="B217" s="36"/>
      <c r="C217" s="7" t="s">
        <v>53</v>
      </c>
      <c r="D217" s="7" t="n">
        <f aca="false">'Información completa'!M143</f>
        <v>822276</v>
      </c>
      <c r="E217" s="7" t="n">
        <f aca="false">'Información completa'!N143</f>
        <v>457133</v>
      </c>
      <c r="F217" s="7" t="n">
        <f aca="false">'Información completa'!O143</f>
        <v>249402</v>
      </c>
      <c r="G217" s="7" t="n">
        <f aca="false">'Información completa'!P143</f>
        <v>152423</v>
      </c>
      <c r="H217" s="7" t="n">
        <f aca="false">'Información completa'!Q143</f>
        <v>110629</v>
      </c>
      <c r="I217" s="7" t="n">
        <f aca="false">'Información completa'!R143</f>
        <v>53439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38"/>
    </row>
    <row r="218" customFormat="false" ht="14.25" hidden="false" customHeight="false" outlineLevel="0" collapsed="false">
      <c r="B218" s="36"/>
      <c r="C218" s="15" t="s">
        <v>48</v>
      </c>
      <c r="D218" s="15" t="s">
        <v>2</v>
      </c>
      <c r="E218" s="15" t="s">
        <v>3</v>
      </c>
      <c r="F218" s="15" t="s">
        <v>4</v>
      </c>
      <c r="G218" s="15" t="s">
        <v>5</v>
      </c>
      <c r="H218" s="15" t="s">
        <v>6</v>
      </c>
      <c r="I218" s="15" t="s">
        <v>7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38"/>
    </row>
    <row r="219" customFormat="false" ht="14.25" hidden="false" customHeight="false" outlineLevel="0" collapsed="false">
      <c r="B219" s="36"/>
      <c r="C219" s="7" t="s">
        <v>56</v>
      </c>
      <c r="D219" s="7" t="n">
        <v>1</v>
      </c>
      <c r="E219" s="7" t="n">
        <f aca="false">$D220/E220</f>
        <v>1.78093518218152</v>
      </c>
      <c r="F219" s="7" t="n">
        <f aca="false">$D220/F220</f>
        <v>3.42058998611019</v>
      </c>
      <c r="G219" s="7" t="n">
        <f aca="false">$D220/G220</f>
        <v>5.77350052358593</v>
      </c>
      <c r="H219" s="7" t="n">
        <f aca="false">$D220/H220</f>
        <v>6.30500246270586</v>
      </c>
      <c r="I219" s="7" t="n">
        <f aca="false">$D220/I220</f>
        <v>11.4014136051782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38"/>
    </row>
    <row r="220" customFormat="false" ht="14.25" hidden="false" customHeight="false" outlineLevel="0" collapsed="false">
      <c r="B220" s="36"/>
      <c r="C220" s="7" t="s">
        <v>57</v>
      </c>
      <c r="D220" s="7" t="n">
        <f aca="false">'Información completa'!U143</f>
        <v>2585795</v>
      </c>
      <c r="E220" s="7" t="n">
        <f aca="false">'Información completa'!V143</f>
        <v>1451931</v>
      </c>
      <c r="F220" s="7" t="n">
        <f aca="false">'Información completa'!W143</f>
        <v>755950</v>
      </c>
      <c r="G220" s="7" t="n">
        <f aca="false">'Información completa'!X143</f>
        <v>447873</v>
      </c>
      <c r="H220" s="7" t="n">
        <f aca="false">'Información completa'!Y143</f>
        <v>410118</v>
      </c>
      <c r="I220" s="7" t="n">
        <f aca="false">'Información completa'!Z143</f>
        <v>226796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38"/>
    </row>
    <row r="221" customFormat="false" ht="14.25" hidden="false" customHeight="false" outlineLevel="0" collapsed="false">
      <c r="B221" s="36"/>
      <c r="C221" s="15" t="s">
        <v>48</v>
      </c>
      <c r="D221" s="15" t="s">
        <v>2</v>
      </c>
      <c r="E221" s="15" t="s">
        <v>3</v>
      </c>
      <c r="F221" s="15" t="s">
        <v>4</v>
      </c>
      <c r="G221" s="15" t="s">
        <v>5</v>
      </c>
      <c r="H221" s="15" t="s">
        <v>6</v>
      </c>
      <c r="I221" s="15" t="s">
        <v>7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38"/>
    </row>
    <row r="222" customFormat="false" ht="14.25" hidden="false" customHeight="false" outlineLevel="0" collapsed="false">
      <c r="B222" s="36"/>
      <c r="C222" s="7" t="s">
        <v>59</v>
      </c>
      <c r="D222" s="7" t="n">
        <v>1</v>
      </c>
      <c r="E222" s="7" t="n">
        <f aca="false">$D223/E223</f>
        <v>1.76585111630458</v>
      </c>
      <c r="F222" s="7" t="n">
        <f aca="false">$D223/F223</f>
        <v>3.33219146669669</v>
      </c>
      <c r="G222" s="7" t="n">
        <f aca="false">$D223/G223</f>
        <v>5.29365706891027</v>
      </c>
      <c r="H222" s="7" t="n">
        <f aca="false">$D223/H223</f>
        <v>5.52165171920946</v>
      </c>
      <c r="I222" s="7" t="n">
        <f aca="false">$D223/I223</f>
        <v>9.38307639250677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38"/>
    </row>
    <row r="223" customFormat="false" ht="14.25" hidden="false" customHeight="false" outlineLevel="0" collapsed="false">
      <c r="B223" s="36"/>
      <c r="C223" s="7" t="s">
        <v>60</v>
      </c>
      <c r="D223" s="7" t="n">
        <f aca="false">'Información completa'!AC143</f>
        <v>6393769</v>
      </c>
      <c r="E223" s="7" t="n">
        <f aca="false">'Información completa'!AD143</f>
        <v>3620786</v>
      </c>
      <c r="F223" s="7" t="n">
        <f aca="false">'Información completa'!AE143</f>
        <v>1918788</v>
      </c>
      <c r="G223" s="7" t="n">
        <f aca="false">'Información completa'!AF143</f>
        <v>1207817</v>
      </c>
      <c r="H223" s="7" t="n">
        <f aca="false">'Información completa'!AG143</f>
        <v>1157945</v>
      </c>
      <c r="I223" s="7" t="n">
        <f aca="false">'Información completa'!AH143</f>
        <v>681415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38"/>
    </row>
    <row r="224" customFormat="false" ht="14.25" hidden="false" customHeight="false" outlineLevel="0" collapsed="false">
      <c r="B224" s="3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38"/>
    </row>
    <row r="225" customFormat="false" ht="14.25" hidden="false" customHeight="false" outlineLevel="0" collapsed="false">
      <c r="B225" s="3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38"/>
    </row>
    <row r="226" customFormat="false" ht="14.25" hidden="false" customHeight="false" outlineLevel="0" collapsed="false">
      <c r="B226" s="3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38"/>
    </row>
    <row r="227" customFormat="false" ht="14.25" hidden="false" customHeight="false" outlineLevel="0" collapsed="false">
      <c r="B227" s="3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38"/>
    </row>
    <row r="228" customFormat="false" ht="14.25" hidden="false" customHeight="false" outlineLevel="0" collapsed="false">
      <c r="B228" s="3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38"/>
    </row>
    <row r="229" customFormat="false" ht="14.25" hidden="false" customHeight="false" outlineLevel="0" collapsed="false">
      <c r="B229" s="3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38"/>
    </row>
    <row r="230" customFormat="false" ht="14.25" hidden="false" customHeight="false" outlineLevel="0" collapsed="false">
      <c r="B230" s="3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38"/>
    </row>
    <row r="231" customFormat="false" ht="14.25" hidden="false" customHeight="false" outlineLevel="0" collapsed="false">
      <c r="B231" s="3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38"/>
    </row>
    <row r="232" customFormat="false" ht="14.25" hidden="false" customHeight="false" outlineLevel="0" collapsed="false">
      <c r="B232" s="3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38"/>
    </row>
    <row r="233" customFormat="false" ht="14.25" hidden="false" customHeight="false" outlineLevel="0" collapsed="false">
      <c r="B233" s="3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38"/>
    </row>
    <row r="234" customFormat="false" ht="14.25" hidden="false" customHeight="false" outlineLevel="0" collapsed="false">
      <c r="B234" s="3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38"/>
    </row>
    <row r="235" customFormat="false" ht="14.25" hidden="false" customHeight="false" outlineLevel="0" collapsed="false">
      <c r="B235" s="3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38"/>
    </row>
    <row r="236" customFormat="false" ht="14.25" hidden="false" customHeight="false" outlineLevel="0" collapsed="false">
      <c r="B236" s="3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38"/>
    </row>
    <row r="237" customFormat="false" ht="14.25" hidden="false" customHeight="false" outlineLevel="0" collapsed="false">
      <c r="B237" s="3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38"/>
    </row>
    <row r="238" customFormat="false" ht="14.25" hidden="false" customHeight="false" outlineLevel="0" collapsed="false">
      <c r="B238" s="3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38"/>
    </row>
    <row r="239" customFormat="false" ht="14.25" hidden="false" customHeight="false" outlineLevel="0" collapsed="false">
      <c r="B239" s="3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38"/>
    </row>
    <row r="240" customFormat="false" ht="14.25" hidden="false" customHeight="false" outlineLevel="0" collapsed="false">
      <c r="B240" s="3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38"/>
    </row>
    <row r="241" customFormat="false" ht="14.25" hidden="false" customHeight="false" outlineLevel="0" collapsed="false">
      <c r="B241" s="3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38"/>
    </row>
    <row r="242" customFormat="false" ht="14.25" hidden="false" customHeight="false" outlineLevel="0" collapsed="false">
      <c r="B242" s="3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38"/>
    </row>
    <row r="243" customFormat="false" ht="14.25" hidden="false" customHeight="false" outlineLevel="0" collapsed="false">
      <c r="B243" s="3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38"/>
    </row>
    <row r="244" customFormat="false" ht="14.25" hidden="false" customHeight="false" outlineLevel="0" collapsed="false">
      <c r="B244" s="3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38"/>
    </row>
    <row r="245" customFormat="false" ht="14.25" hidden="false" customHeight="false" outlineLevel="0" collapsed="false">
      <c r="B245" s="3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38"/>
    </row>
    <row r="246" customFormat="false" ht="14.25" hidden="false" customHeight="false" outlineLevel="0" collapsed="false">
      <c r="B246" s="3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38"/>
    </row>
    <row r="247" customFormat="false" ht="14.25" hidden="false" customHeight="false" outlineLevel="0" collapsed="false">
      <c r="B247" s="3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38"/>
    </row>
    <row r="248" customFormat="false" ht="14.25" hidden="false" customHeight="false" outlineLevel="0" collapsed="false">
      <c r="B248" s="3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38"/>
    </row>
    <row r="249" customFormat="false" ht="14.25" hidden="false" customHeight="false" outlineLevel="0" collapsed="false">
      <c r="B249" s="3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38"/>
    </row>
    <row r="250" customFormat="false" ht="14.25" hidden="false" customHeight="false" outlineLevel="0" collapsed="false">
      <c r="B250" s="3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38"/>
    </row>
    <row r="251" customFormat="false" ht="14.25" hidden="false" customHeight="false" outlineLevel="0" collapsed="false">
      <c r="B251" s="3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38"/>
    </row>
    <row r="252" customFormat="false" ht="14.25" hidden="false" customHeight="false" outlineLevel="0" collapsed="false">
      <c r="B252" s="3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38"/>
    </row>
    <row r="253" customFormat="false" ht="14.25" hidden="false" customHeight="false" outlineLevel="0" collapsed="false">
      <c r="B253" s="3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38"/>
    </row>
    <row r="254" customFormat="false" ht="14.25" hidden="false" customHeight="false" outlineLevel="0" collapsed="false">
      <c r="B254" s="3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38"/>
    </row>
    <row r="255" customFormat="false" ht="14.25" hidden="false" customHeight="false" outlineLevel="0" collapsed="false">
      <c r="B255" s="3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38"/>
    </row>
    <row r="256" customFormat="false" ht="14.25" hidden="false" customHeight="false" outlineLevel="0" collapsed="false">
      <c r="B256" s="3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38"/>
    </row>
    <row r="257" customFormat="false" ht="14.25" hidden="false" customHeight="false" outlineLevel="0" collapsed="false">
      <c r="B257" s="3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38"/>
    </row>
    <row r="258" customFormat="false" ht="14.25" hidden="false" customHeight="false" outlineLevel="0" collapsed="false">
      <c r="B258" s="3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38"/>
    </row>
    <row r="259" customFormat="false" ht="14.25" hidden="false" customHeight="false" outlineLevel="0" collapsed="false">
      <c r="B259" s="3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38"/>
    </row>
    <row r="260" customFormat="false" ht="14.25" hidden="false" customHeight="false" outlineLevel="0" collapsed="false">
      <c r="B260" s="3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38"/>
    </row>
    <row r="261" customFormat="false" ht="14.25" hidden="false" customHeight="false" outlineLevel="0" collapsed="false">
      <c r="B261" s="3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38"/>
    </row>
    <row r="262" customFormat="false" ht="14.25" hidden="false" customHeight="false" outlineLevel="0" collapsed="false">
      <c r="B262" s="3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38"/>
    </row>
    <row r="263" customFormat="false" ht="14.25" hidden="false" customHeight="false" outlineLevel="0" collapsed="false">
      <c r="B263" s="3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38"/>
    </row>
    <row r="264" customFormat="false" ht="14.25" hidden="false" customHeight="false" outlineLevel="0" collapsed="false">
      <c r="B264" s="3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38"/>
    </row>
    <row r="265" customFormat="false" ht="14.25" hidden="false" customHeight="false" outlineLevel="0" collapsed="false">
      <c r="B265" s="3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38"/>
    </row>
    <row r="266" customFormat="false" ht="14.25" hidden="false" customHeight="false" outlineLevel="0" collapsed="false">
      <c r="B266" s="3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38"/>
    </row>
    <row r="267" customFormat="false" ht="14.25" hidden="false" customHeight="false" outlineLevel="0" collapsed="false">
      <c r="B267" s="3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38"/>
    </row>
    <row r="268" customFormat="false" ht="14.25" hidden="false" customHeight="false" outlineLevel="0" collapsed="false">
      <c r="B268" s="3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38"/>
    </row>
    <row r="269" customFormat="false" ht="14.25" hidden="false" customHeight="false" outlineLevel="0" collapsed="false">
      <c r="B269" s="3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38"/>
    </row>
    <row r="270" customFormat="false" ht="14.25" hidden="false" customHeight="false" outlineLevel="0" collapsed="false">
      <c r="B270" s="3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38"/>
    </row>
    <row r="271" customFormat="false" ht="14.25" hidden="false" customHeight="false" outlineLevel="0" collapsed="false">
      <c r="B271" s="3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38"/>
    </row>
    <row r="272" customFormat="false" ht="14.25" hidden="false" customHeight="false" outlineLevel="0" collapsed="false">
      <c r="B272" s="3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38"/>
    </row>
    <row r="273" customFormat="false" ht="14.25" hidden="false" customHeight="false" outlineLevel="0" collapsed="false">
      <c r="B273" s="3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38"/>
    </row>
    <row r="274" customFormat="false" ht="28.5" hidden="false" customHeight="true" outlineLevel="0" collapsed="false">
      <c r="B274" s="41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3"/>
    </row>
  </sheetData>
  <mergeCells count="8">
    <mergeCell ref="K8:L8"/>
    <mergeCell ref="K9:L9"/>
    <mergeCell ref="K76:L76"/>
    <mergeCell ref="K77:L77"/>
    <mergeCell ref="K144:L144"/>
    <mergeCell ref="K145:L145"/>
    <mergeCell ref="K212:L212"/>
    <mergeCell ref="K213:L2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152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A122" activeCellId="0" sqref="AA12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2.78"/>
    <col collapsed="false" customWidth="true" hidden="false" outlineLevel="0" max="3" min="3" style="0" width="19.89"/>
    <col collapsed="false" customWidth="true" hidden="false" outlineLevel="0" max="4" min="4" style="0" width="21.78"/>
    <col collapsed="false" customWidth="true" hidden="false" outlineLevel="0" max="15" min="15" style="0" width="2.78"/>
  </cols>
  <sheetData>
    <row r="3" customFormat="false" ht="14.25" hidden="false" customHeight="false" outlineLevel="0" collapsed="false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</row>
    <row r="4" customFormat="false" ht="33.85" hidden="false" customHeight="false" outlineLevel="0" collapsed="false">
      <c r="B4" s="36"/>
      <c r="C4" s="7"/>
      <c r="D4" s="37" t="s">
        <v>63</v>
      </c>
      <c r="E4" s="7"/>
      <c r="F4" s="7"/>
      <c r="G4" s="7"/>
      <c r="H4" s="7"/>
      <c r="I4" s="7"/>
      <c r="J4" s="7"/>
      <c r="K4" s="7"/>
      <c r="L4" s="7"/>
      <c r="M4" s="7"/>
      <c r="N4" s="7"/>
      <c r="O4" s="38"/>
    </row>
    <row r="5" customFormat="false" ht="14.25" hidden="false" customHeight="false" outlineLevel="0" collapsed="false">
      <c r="B5" s="36"/>
      <c r="C5" s="44"/>
      <c r="D5" s="15" t="str">
        <f aca="false" t="array" ref="D5:J5">'Gráficas SpeedUp'!C8:I8</f>
        <v># Hilos</v>
      </c>
      <c r="E5" s="15" t="str">
        <v>1 hilo</v>
      </c>
      <c r="F5" s="15" t="str">
        <v>2 hilos</v>
      </c>
      <c r="G5" s="15" t="str">
        <v>4 hilos</v>
      </c>
      <c r="H5" s="15" t="str">
        <v>8 hilos</v>
      </c>
      <c r="I5" s="15" t="str">
        <v>12 hilos</v>
      </c>
      <c r="J5" s="15" t="str">
        <v>32 hilos</v>
      </c>
      <c r="K5" s="7"/>
      <c r="L5" s="7"/>
      <c r="M5" s="7"/>
      <c r="N5" s="7"/>
      <c r="O5" s="38"/>
    </row>
    <row r="6" customFormat="false" ht="14.25" hidden="false" customHeight="true" outlineLevel="0" collapsed="false">
      <c r="B6" s="36"/>
      <c r="C6" s="45" t="s">
        <v>64</v>
      </c>
      <c r="D6" s="46" t="s">
        <v>47</v>
      </c>
      <c r="E6" s="7" t="n">
        <f aca="false" t="array" ref="E6:J6">'Gráficas SpeedUp'!D10:I10</f>
        <v>104680</v>
      </c>
      <c r="F6" s="7" t="n">
        <v>55872</v>
      </c>
      <c r="G6" s="7" t="n">
        <v>32364</v>
      </c>
      <c r="H6" s="7" t="n">
        <v>20691</v>
      </c>
      <c r="I6" s="7" t="n">
        <v>20620</v>
      </c>
      <c r="J6" s="7" t="n">
        <v>23785</v>
      </c>
      <c r="K6" s="7"/>
      <c r="L6" s="7"/>
      <c r="M6" s="7"/>
      <c r="N6" s="7"/>
      <c r="O6" s="38"/>
    </row>
    <row r="7" customFormat="false" ht="14.25" hidden="false" customHeight="false" outlineLevel="0" collapsed="false">
      <c r="B7" s="36"/>
      <c r="C7" s="45"/>
      <c r="D7" s="46" t="s">
        <v>65</v>
      </c>
      <c r="E7" s="7" t="n">
        <f aca="false" t="array" ref="E7:J7">'Gráficas SpeedUp'!D78:I78</f>
        <v>86679</v>
      </c>
      <c r="F7" s="7" t="n">
        <v>48371</v>
      </c>
      <c r="G7" s="7" t="n">
        <v>27049</v>
      </c>
      <c r="H7" s="7" t="n">
        <v>18011</v>
      </c>
      <c r="I7" s="7" t="n">
        <v>15479</v>
      </c>
      <c r="J7" s="7" t="n">
        <v>16428</v>
      </c>
      <c r="K7" s="7"/>
      <c r="L7" s="7"/>
      <c r="M7" s="7"/>
      <c r="N7" s="7"/>
      <c r="O7" s="38"/>
    </row>
    <row r="8" customFormat="false" ht="14.25" hidden="false" customHeight="false" outlineLevel="0" collapsed="false">
      <c r="B8" s="36"/>
      <c r="C8" s="45"/>
      <c r="D8" s="46" t="s">
        <v>61</v>
      </c>
      <c r="E8" s="7" t="n">
        <f aca="false" t="array" ref="E8:J8">'Gráficas SpeedUp'!D146:I146</f>
        <v>104090</v>
      </c>
      <c r="F8" s="7" t="n">
        <v>55488</v>
      </c>
      <c r="G8" s="7" t="n">
        <v>31511</v>
      </c>
      <c r="H8" s="7" t="n">
        <v>20099</v>
      </c>
      <c r="I8" s="7" t="n">
        <v>21005</v>
      </c>
      <c r="J8" s="7" t="n">
        <v>15657</v>
      </c>
      <c r="K8" s="7"/>
      <c r="L8" s="7"/>
      <c r="M8" s="7"/>
      <c r="N8" s="7"/>
      <c r="O8" s="38"/>
    </row>
    <row r="9" customFormat="false" ht="14.25" hidden="false" customHeight="false" outlineLevel="0" collapsed="false">
      <c r="B9" s="36"/>
      <c r="C9" s="45"/>
      <c r="D9" s="46" t="s">
        <v>62</v>
      </c>
      <c r="E9" s="7" t="n">
        <f aca="false" t="array" ref="E9:J9">'Gráficas SpeedUp'!D214:I214</f>
        <v>85957</v>
      </c>
      <c r="F9" s="7" t="n">
        <v>47981</v>
      </c>
      <c r="G9" s="7" t="n">
        <v>27383</v>
      </c>
      <c r="H9" s="7" t="n">
        <v>17997</v>
      </c>
      <c r="I9" s="7" t="n">
        <v>15507</v>
      </c>
      <c r="J9" s="7" t="n">
        <v>10041</v>
      </c>
      <c r="K9" s="7"/>
      <c r="L9" s="7"/>
      <c r="M9" s="7"/>
      <c r="N9" s="7"/>
      <c r="O9" s="38"/>
    </row>
    <row r="10" customFormat="false" ht="14.25" hidden="false" customHeight="false" outlineLevel="0" collapsed="false">
      <c r="B10" s="3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38"/>
    </row>
    <row r="11" customFormat="false" ht="14.25" hidden="false" customHeight="false" outlineLevel="0" collapsed="false">
      <c r="B11" s="3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38"/>
    </row>
    <row r="12" customFormat="false" ht="14.25" hidden="false" customHeight="false" outlineLevel="0" collapsed="false">
      <c r="B12" s="3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38"/>
    </row>
    <row r="13" customFormat="false" ht="14.25" hidden="false" customHeight="false" outlineLevel="0" collapsed="false">
      <c r="B13" s="3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38"/>
    </row>
    <row r="14" customFormat="false" ht="14.25" hidden="false" customHeight="false" outlineLevel="0" collapsed="false">
      <c r="B14" s="3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38"/>
    </row>
    <row r="15" customFormat="false" ht="14.25" hidden="false" customHeight="false" outlineLevel="0" collapsed="false">
      <c r="B15" s="3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8"/>
    </row>
    <row r="16" customFormat="false" ht="14.25" hidden="false" customHeight="false" outlineLevel="0" collapsed="false">
      <c r="B16" s="3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38"/>
    </row>
    <row r="17" customFormat="false" ht="14.25" hidden="false" customHeight="false" outlineLevel="0" collapsed="false">
      <c r="B17" s="3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38"/>
    </row>
    <row r="18" customFormat="false" ht="14.25" hidden="false" customHeight="false" outlineLevel="0" collapsed="false">
      <c r="B18" s="3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38"/>
    </row>
    <row r="19" customFormat="false" ht="14.25" hidden="false" customHeight="false" outlineLevel="0" collapsed="false">
      <c r="B19" s="3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38"/>
    </row>
    <row r="20" customFormat="false" ht="14.25" hidden="false" customHeight="false" outlineLevel="0" collapsed="false">
      <c r="B20" s="3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8"/>
    </row>
    <row r="21" customFormat="false" ht="14.25" hidden="false" customHeight="false" outlineLevel="0" collapsed="false">
      <c r="B21" s="3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38"/>
    </row>
    <row r="22" customFormat="false" ht="14.25" hidden="false" customHeight="false" outlineLevel="0" collapsed="false">
      <c r="B22" s="3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38"/>
    </row>
    <row r="23" customFormat="false" ht="14.25" hidden="false" customHeight="false" outlineLevel="0" collapsed="false">
      <c r="B23" s="3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38"/>
    </row>
    <row r="24" customFormat="false" ht="14.25" hidden="false" customHeight="false" outlineLevel="0" collapsed="false">
      <c r="B24" s="3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38"/>
    </row>
    <row r="25" customFormat="false" ht="14.25" hidden="false" customHeight="false" outlineLevel="0" collapsed="false">
      <c r="B25" s="3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38"/>
    </row>
    <row r="26" customFormat="false" ht="14.25" hidden="false" customHeight="false" outlineLevel="0" collapsed="false">
      <c r="B26" s="3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8"/>
    </row>
    <row r="27" customFormat="false" ht="14.25" hidden="false" customHeight="false" outlineLevel="0" collapsed="false">
      <c r="B27" s="3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38"/>
    </row>
    <row r="28" customFormat="false" ht="14.25" hidden="false" customHeight="false" outlineLevel="0" collapsed="false">
      <c r="B28" s="3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38"/>
    </row>
    <row r="29" customFormat="false" ht="14.25" hidden="false" customHeight="false" outlineLevel="0" collapsed="false">
      <c r="B29" s="3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38"/>
    </row>
    <row r="30" customFormat="false" ht="14.25" hidden="false" customHeight="false" outlineLevel="0" collapsed="false">
      <c r="B30" s="3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38"/>
    </row>
    <row r="31" customFormat="false" ht="14.25" hidden="false" customHeight="false" outlineLevel="0" collapsed="false">
      <c r="B31" s="3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38"/>
    </row>
    <row r="32" customFormat="false" ht="14.25" hidden="false" customHeight="false" outlineLevel="0" collapsed="false">
      <c r="B32" s="3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8"/>
    </row>
    <row r="33" customFormat="false" ht="14.25" hidden="false" customHeight="false" outlineLevel="0" collapsed="false">
      <c r="B33" s="3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38"/>
    </row>
    <row r="34" customFormat="false" ht="14.25" hidden="false" customHeight="false" outlineLevel="0" collapsed="false">
      <c r="B34" s="3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38"/>
    </row>
    <row r="35" customFormat="false" ht="14.25" hidden="false" customHeight="false" outlineLevel="0" collapsed="false">
      <c r="B35" s="3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38"/>
    </row>
    <row r="36" customFormat="false" ht="14.25" hidden="false" customHeight="false" outlineLevel="0" collapsed="false">
      <c r="B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38"/>
    </row>
    <row r="37" customFormat="false" ht="14.25" hidden="false" customHeight="false" outlineLevel="0" collapsed="false"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3"/>
    </row>
    <row r="41" customFormat="false" ht="14.25" hidden="false" customHeight="false" outlineLevel="0" collapsed="false"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5"/>
    </row>
    <row r="42" customFormat="false" ht="33.85" hidden="false" customHeight="false" outlineLevel="0" collapsed="false">
      <c r="B42" s="36"/>
      <c r="C42" s="7"/>
      <c r="D42" s="37" t="s">
        <v>66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38"/>
    </row>
    <row r="43" customFormat="false" ht="14.25" hidden="false" customHeight="false" outlineLevel="0" collapsed="false">
      <c r="B43" s="36"/>
      <c r="C43" s="44"/>
      <c r="D43" s="15" t="str">
        <f aca="false" t="array" ref="D43:J43">'Gráficas SpeedUp'!C76:I76</f>
        <v># Hilos</v>
      </c>
      <c r="E43" s="15" t="str">
        <v>1 hilo</v>
      </c>
      <c r="F43" s="15" t="str">
        <v>2 hilos</v>
      </c>
      <c r="G43" s="15" t="str">
        <v>4 hilos</v>
      </c>
      <c r="H43" s="15" t="str">
        <v>8 hilos</v>
      </c>
      <c r="I43" s="15" t="str">
        <v>12 hilos</v>
      </c>
      <c r="J43" s="15" t="str">
        <v>32 hilos</v>
      </c>
      <c r="K43" s="7"/>
      <c r="L43" s="7"/>
      <c r="M43" s="7"/>
      <c r="N43" s="7"/>
      <c r="O43" s="38"/>
    </row>
    <row r="44" customFormat="false" ht="14.25" hidden="false" customHeight="true" outlineLevel="0" collapsed="false">
      <c r="B44" s="36"/>
      <c r="C44" s="45" t="s">
        <v>64</v>
      </c>
      <c r="D44" s="46" t="s">
        <v>47</v>
      </c>
      <c r="E44" s="7" t="n">
        <f aca="false" t="array" ref="E44:J44">'Gráficas SpeedUp'!D13:I13</f>
        <v>1521100</v>
      </c>
      <c r="F44" s="7" t="n">
        <v>749871</v>
      </c>
      <c r="G44" s="7" t="n">
        <v>383876</v>
      </c>
      <c r="H44" s="7" t="n">
        <v>270012</v>
      </c>
      <c r="I44" s="7" t="n">
        <v>231602</v>
      </c>
      <c r="J44" s="7" t="n">
        <v>283263</v>
      </c>
      <c r="K44" s="7"/>
      <c r="L44" s="7"/>
      <c r="M44" s="7"/>
      <c r="N44" s="7"/>
      <c r="O44" s="38"/>
    </row>
    <row r="45" customFormat="false" ht="14.25" hidden="false" customHeight="false" outlineLevel="0" collapsed="false">
      <c r="B45" s="36"/>
      <c r="C45" s="45"/>
      <c r="D45" s="46" t="s">
        <v>65</v>
      </c>
      <c r="E45" s="7" t="n">
        <f aca="false" t="array" ref="E45:J45">'Gráficas SpeedUp'!D81:I81</f>
        <v>813831</v>
      </c>
      <c r="F45" s="7" t="n">
        <v>455145</v>
      </c>
      <c r="G45" s="7" t="n">
        <v>258678</v>
      </c>
      <c r="H45" s="7" t="n">
        <v>198287</v>
      </c>
      <c r="I45" s="7" t="n">
        <v>113079</v>
      </c>
      <c r="J45" s="7" t="n">
        <v>65766</v>
      </c>
      <c r="K45" s="7"/>
      <c r="L45" s="7"/>
      <c r="M45" s="7"/>
      <c r="N45" s="7"/>
      <c r="O45" s="38"/>
    </row>
    <row r="46" customFormat="false" ht="14.25" hidden="false" customHeight="false" outlineLevel="0" collapsed="false">
      <c r="B46" s="36"/>
      <c r="C46" s="45"/>
      <c r="D46" s="46" t="s">
        <v>61</v>
      </c>
      <c r="E46" s="7" t="n">
        <f aca="false" t="array" ref="E46:J46">'Gráficas SpeedUp'!D149:I149</f>
        <v>1187654</v>
      </c>
      <c r="F46" s="7" t="n">
        <v>688949</v>
      </c>
      <c r="G46" s="7" t="n">
        <v>340104</v>
      </c>
      <c r="H46" s="7" t="n">
        <v>250902</v>
      </c>
      <c r="I46" s="7" t="n">
        <v>252938</v>
      </c>
      <c r="J46" s="7" t="n">
        <v>261758</v>
      </c>
      <c r="K46" s="7"/>
      <c r="L46" s="7"/>
      <c r="M46" s="7"/>
      <c r="N46" s="7"/>
      <c r="O46" s="38"/>
    </row>
    <row r="47" customFormat="false" ht="14.25" hidden="false" customHeight="false" outlineLevel="0" collapsed="false">
      <c r="B47" s="36"/>
      <c r="C47" s="45"/>
      <c r="D47" s="46" t="s">
        <v>62</v>
      </c>
      <c r="E47" s="7" t="n">
        <f aca="false" t="array" ref="E47:J47">'Gráficas SpeedUp'!D217:I217</f>
        <v>822276</v>
      </c>
      <c r="F47" s="7" t="n">
        <v>457133</v>
      </c>
      <c r="G47" s="7" t="n">
        <v>249402</v>
      </c>
      <c r="H47" s="7" t="n">
        <v>152423</v>
      </c>
      <c r="I47" s="7" t="n">
        <v>110629</v>
      </c>
      <c r="J47" s="7" t="n">
        <v>53439</v>
      </c>
      <c r="K47" s="7"/>
      <c r="L47" s="7"/>
      <c r="M47" s="7"/>
      <c r="N47" s="7"/>
      <c r="O47" s="38"/>
    </row>
    <row r="48" customFormat="false" ht="14.25" hidden="false" customHeight="false" outlineLevel="0" collapsed="false">
      <c r="B48" s="3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38"/>
    </row>
    <row r="49" customFormat="false" ht="14.25" hidden="false" customHeight="false" outlineLevel="0" collapsed="false">
      <c r="B49" s="3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38"/>
    </row>
    <row r="50" customFormat="false" ht="14.25" hidden="false" customHeight="false" outlineLevel="0" collapsed="false">
      <c r="B50" s="3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38"/>
    </row>
    <row r="51" customFormat="false" ht="14.25" hidden="false" customHeight="false" outlineLevel="0" collapsed="false">
      <c r="B51" s="3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38"/>
    </row>
    <row r="52" customFormat="false" ht="14.25" hidden="false" customHeight="false" outlineLevel="0" collapsed="false">
      <c r="B52" s="3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38"/>
    </row>
    <row r="53" customFormat="false" ht="14.25" hidden="false" customHeight="false" outlineLevel="0" collapsed="false">
      <c r="B53" s="3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38"/>
    </row>
    <row r="54" customFormat="false" ht="14.25" hidden="false" customHeight="false" outlineLevel="0" collapsed="false">
      <c r="B54" s="3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38"/>
    </row>
    <row r="55" customFormat="false" ht="14.25" hidden="false" customHeight="false" outlineLevel="0" collapsed="false">
      <c r="B55" s="3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38"/>
    </row>
    <row r="56" customFormat="false" ht="14.25" hidden="false" customHeight="false" outlineLevel="0" collapsed="false">
      <c r="B56" s="3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38"/>
    </row>
    <row r="57" customFormat="false" ht="14.25" hidden="false" customHeight="false" outlineLevel="0" collapsed="false">
      <c r="B57" s="3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38"/>
    </row>
    <row r="58" customFormat="false" ht="14.25" hidden="false" customHeight="false" outlineLevel="0" collapsed="false">
      <c r="B58" s="3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38"/>
    </row>
    <row r="59" customFormat="false" ht="14.25" hidden="false" customHeight="false" outlineLevel="0" collapsed="false">
      <c r="B59" s="3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38"/>
    </row>
    <row r="60" customFormat="false" ht="14.25" hidden="false" customHeight="false" outlineLevel="0" collapsed="false">
      <c r="B60" s="3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38"/>
    </row>
    <row r="61" customFormat="false" ht="14.25" hidden="false" customHeight="false" outlineLevel="0" collapsed="false">
      <c r="B61" s="3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38"/>
    </row>
    <row r="62" customFormat="false" ht="14.25" hidden="false" customHeight="false" outlineLevel="0" collapsed="false">
      <c r="B62" s="3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38"/>
    </row>
    <row r="63" customFormat="false" ht="14.25" hidden="false" customHeight="false" outlineLevel="0" collapsed="false">
      <c r="B63" s="3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38"/>
    </row>
    <row r="64" customFormat="false" ht="14.25" hidden="false" customHeight="false" outlineLevel="0" collapsed="false">
      <c r="B64" s="3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38"/>
    </row>
    <row r="65" customFormat="false" ht="14.25" hidden="false" customHeight="false" outlineLevel="0" collapsed="false">
      <c r="B65" s="3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38"/>
    </row>
    <row r="66" customFormat="false" ht="14.25" hidden="false" customHeight="false" outlineLevel="0" collapsed="false">
      <c r="B66" s="3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38"/>
    </row>
    <row r="67" customFormat="false" ht="14.25" hidden="false" customHeight="false" outlineLevel="0" collapsed="false">
      <c r="B67" s="3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38"/>
    </row>
    <row r="68" customFormat="false" ht="14.25" hidden="false" customHeight="false" outlineLevel="0" collapsed="false">
      <c r="B68" s="3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38"/>
    </row>
    <row r="69" customFormat="false" ht="14.25" hidden="false" customHeight="false" outlineLevel="0" collapsed="false">
      <c r="B69" s="3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38"/>
    </row>
    <row r="70" customFormat="false" ht="14.25" hidden="false" customHeight="false" outlineLevel="0" collapsed="false">
      <c r="B70" s="3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38"/>
    </row>
    <row r="71" customFormat="false" ht="14.25" hidden="false" customHeight="false" outlineLevel="0" collapsed="false">
      <c r="B71" s="3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38"/>
    </row>
    <row r="72" customFormat="false" ht="14.25" hidden="false" customHeight="false" outlineLevel="0" collapsed="false">
      <c r="B72" s="3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38"/>
    </row>
    <row r="73" customFormat="false" ht="14.25" hidden="false" customHeight="false" outlineLevel="0" collapsed="false">
      <c r="B73" s="3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38"/>
    </row>
    <row r="74" customFormat="false" ht="14.25" hidden="false" customHeight="false" outlineLevel="0" collapsed="false">
      <c r="B74" s="3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38"/>
    </row>
    <row r="75" customFormat="false" ht="14.25" hidden="false" customHeight="false" outlineLevel="0" collapsed="false"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3"/>
    </row>
    <row r="79" customFormat="false" ht="14.25" hidden="false" customHeight="false" outlineLevel="0" collapsed="false">
      <c r="B79" s="47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9"/>
    </row>
    <row r="80" customFormat="false" ht="33.85" hidden="false" customHeight="false" outlineLevel="0" collapsed="false">
      <c r="B80" s="50"/>
      <c r="C80" s="7"/>
      <c r="D80" s="37" t="s">
        <v>67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51"/>
    </row>
    <row r="81" customFormat="false" ht="14.25" hidden="false" customHeight="false" outlineLevel="0" collapsed="false">
      <c r="B81" s="50"/>
      <c r="C81" s="44"/>
      <c r="D81" s="15" t="str">
        <f aca="false" t="array" ref="D81:J81">'Gráficas SpeedUp'!C144:I144</f>
        <v># Hilos</v>
      </c>
      <c r="E81" s="15" t="str">
        <v>1 hilo</v>
      </c>
      <c r="F81" s="15" t="str">
        <v>2 hilos</v>
      </c>
      <c r="G81" s="15" t="str">
        <v>4 hilos</v>
      </c>
      <c r="H81" s="15" t="str">
        <v>8 hilos</v>
      </c>
      <c r="I81" s="15" t="str">
        <v>12 hilos</v>
      </c>
      <c r="J81" s="15" t="str">
        <v>32 hilos</v>
      </c>
      <c r="K81" s="7"/>
      <c r="L81" s="7"/>
      <c r="M81" s="7"/>
      <c r="N81" s="7"/>
      <c r="O81" s="51"/>
    </row>
    <row r="82" customFormat="false" ht="14.25" hidden="false" customHeight="false" outlineLevel="0" collapsed="false">
      <c r="B82" s="50"/>
      <c r="C82" s="45" t="s">
        <v>64</v>
      </c>
      <c r="D82" s="46" t="s">
        <v>47</v>
      </c>
      <c r="E82" s="7" t="n">
        <f aca="false" t="array" ref="E82:J82">'Gráficas SpeedUp'!D16:I16</f>
        <v>4350333</v>
      </c>
      <c r="F82" s="7" t="n">
        <v>2513862</v>
      </c>
      <c r="G82" s="7" t="n">
        <v>1266438</v>
      </c>
      <c r="H82" s="7" t="n">
        <v>681865</v>
      </c>
      <c r="I82" s="7" t="n">
        <v>695559</v>
      </c>
      <c r="J82" s="7" t="n">
        <v>1178110</v>
      </c>
      <c r="K82" s="7"/>
      <c r="L82" s="7"/>
      <c r="M82" s="7"/>
      <c r="N82" s="7"/>
      <c r="O82" s="51"/>
    </row>
    <row r="83" customFormat="false" ht="14.25" hidden="false" customHeight="false" outlineLevel="0" collapsed="false">
      <c r="B83" s="50"/>
      <c r="C83" s="45"/>
      <c r="D83" s="46" t="s">
        <v>65</v>
      </c>
      <c r="E83" s="7" t="n">
        <f aca="false" t="array" ref="E83:J83">'Gráficas SpeedUp'!D84:I84</f>
        <v>2664045</v>
      </c>
      <c r="F83" s="7" t="n">
        <v>1472470</v>
      </c>
      <c r="G83" s="7" t="n">
        <v>759439</v>
      </c>
      <c r="H83" s="7" t="n">
        <v>443092</v>
      </c>
      <c r="I83" s="7" t="n">
        <v>417910</v>
      </c>
      <c r="J83" s="7" t="n">
        <v>235586</v>
      </c>
      <c r="K83" s="7"/>
      <c r="L83" s="7"/>
      <c r="M83" s="7"/>
      <c r="N83" s="7"/>
      <c r="O83" s="51"/>
    </row>
    <row r="84" customFormat="false" ht="14.25" hidden="false" customHeight="false" outlineLevel="0" collapsed="false">
      <c r="B84" s="50"/>
      <c r="C84" s="45"/>
      <c r="D84" s="46" t="s">
        <v>61</v>
      </c>
      <c r="E84" s="7" t="n">
        <f aca="false" t="array" ref="E84:J84">'Gráficas SpeedUp'!D152:I152</f>
        <v>4570788</v>
      </c>
      <c r="F84" s="7" t="n">
        <v>2606729</v>
      </c>
      <c r="G84" s="7" t="n">
        <v>1288404</v>
      </c>
      <c r="H84" s="7" t="n">
        <v>687697</v>
      </c>
      <c r="I84" s="7" t="n">
        <v>694789</v>
      </c>
      <c r="J84" s="7" t="n">
        <v>1135537</v>
      </c>
      <c r="K84" s="7"/>
      <c r="L84" s="7"/>
      <c r="M84" s="7"/>
      <c r="N84" s="7"/>
      <c r="O84" s="51"/>
    </row>
    <row r="85" customFormat="false" ht="14.25" hidden="false" customHeight="false" outlineLevel="0" collapsed="false">
      <c r="B85" s="50"/>
      <c r="C85" s="45"/>
      <c r="D85" s="46" t="s">
        <v>62</v>
      </c>
      <c r="E85" s="7" t="n">
        <f aca="false" t="array" ref="E85:J85">'Gráficas SpeedUp'!D220:I220</f>
        <v>2585795</v>
      </c>
      <c r="F85" s="7" t="n">
        <v>1451931</v>
      </c>
      <c r="G85" s="7" t="n">
        <v>755950</v>
      </c>
      <c r="H85" s="7" t="n">
        <v>447873</v>
      </c>
      <c r="I85" s="7" t="n">
        <v>410118</v>
      </c>
      <c r="J85" s="7" t="n">
        <v>226796</v>
      </c>
      <c r="K85" s="7"/>
      <c r="L85" s="7"/>
      <c r="M85" s="7"/>
      <c r="N85" s="7"/>
      <c r="O85" s="51"/>
    </row>
    <row r="86" customFormat="false" ht="14.25" hidden="false" customHeight="false" outlineLevel="0" collapsed="false">
      <c r="B86" s="50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51"/>
    </row>
    <row r="87" customFormat="false" ht="14.25" hidden="false" customHeight="false" outlineLevel="0" collapsed="false">
      <c r="B87" s="50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51"/>
    </row>
    <row r="88" customFormat="false" ht="14.25" hidden="false" customHeight="false" outlineLevel="0" collapsed="false">
      <c r="B88" s="50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51"/>
    </row>
    <row r="89" customFormat="false" ht="14.25" hidden="false" customHeight="false" outlineLevel="0" collapsed="false">
      <c r="B89" s="5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1"/>
    </row>
    <row r="90" customFormat="false" ht="14.25" hidden="false" customHeight="false" outlineLevel="0" collapsed="false">
      <c r="B90" s="5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51"/>
    </row>
    <row r="91" customFormat="false" ht="14.25" hidden="false" customHeight="false" outlineLevel="0" collapsed="false">
      <c r="B91" s="5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51"/>
    </row>
    <row r="92" customFormat="false" ht="14.25" hidden="false" customHeight="false" outlineLevel="0" collapsed="false">
      <c r="B92" s="5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51"/>
    </row>
    <row r="93" customFormat="false" ht="14.25" hidden="false" customHeight="false" outlineLevel="0" collapsed="false">
      <c r="B93" s="5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51"/>
    </row>
    <row r="94" customFormat="false" ht="14.25" hidden="false" customHeight="false" outlineLevel="0" collapsed="false">
      <c r="B94" s="5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51"/>
    </row>
    <row r="95" customFormat="false" ht="14.25" hidden="false" customHeight="false" outlineLevel="0" collapsed="false">
      <c r="B95" s="5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51"/>
    </row>
    <row r="96" customFormat="false" ht="14.25" hidden="false" customHeight="false" outlineLevel="0" collapsed="false">
      <c r="B96" s="5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51"/>
    </row>
    <row r="97" customFormat="false" ht="14.25" hidden="false" customHeight="false" outlineLevel="0" collapsed="false">
      <c r="B97" s="5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51"/>
    </row>
    <row r="98" customFormat="false" ht="14.25" hidden="false" customHeight="false" outlineLevel="0" collapsed="false">
      <c r="B98" s="5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51"/>
    </row>
    <row r="99" customFormat="false" ht="14.25" hidden="false" customHeight="false" outlineLevel="0" collapsed="false">
      <c r="B99" s="5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51"/>
    </row>
    <row r="100" customFormat="false" ht="14.25" hidden="false" customHeight="false" outlineLevel="0" collapsed="false">
      <c r="B100" s="5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51"/>
    </row>
    <row r="101" customFormat="false" ht="14.25" hidden="false" customHeight="false" outlineLevel="0" collapsed="false">
      <c r="B101" s="5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51"/>
    </row>
    <row r="102" customFormat="false" ht="14.25" hidden="false" customHeight="false" outlineLevel="0" collapsed="false">
      <c r="B102" s="5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51"/>
    </row>
    <row r="103" customFormat="false" ht="14.25" hidden="false" customHeight="false" outlineLevel="0" collapsed="false">
      <c r="B103" s="5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51"/>
    </row>
    <row r="104" customFormat="false" ht="14.25" hidden="false" customHeight="false" outlineLevel="0" collapsed="false">
      <c r="B104" s="5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51"/>
    </row>
    <row r="105" customFormat="false" ht="14.25" hidden="false" customHeight="false" outlineLevel="0" collapsed="false">
      <c r="B105" s="50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51"/>
    </row>
    <row r="106" customFormat="false" ht="14.25" hidden="false" customHeight="false" outlineLevel="0" collapsed="false">
      <c r="B106" s="5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51"/>
    </row>
    <row r="107" customFormat="false" ht="14.25" hidden="false" customHeight="false" outlineLevel="0" collapsed="false">
      <c r="B107" s="5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51"/>
    </row>
    <row r="108" customFormat="false" ht="14.25" hidden="false" customHeight="false" outlineLevel="0" collapsed="false">
      <c r="B108" s="5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51"/>
    </row>
    <row r="109" customFormat="false" ht="14.25" hidden="false" customHeight="false" outlineLevel="0" collapsed="false">
      <c r="B109" s="5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51"/>
    </row>
    <row r="110" customFormat="false" ht="14.25" hidden="false" customHeight="false" outlineLevel="0" collapsed="false">
      <c r="B110" s="5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51"/>
    </row>
    <row r="111" customFormat="false" ht="14.25" hidden="false" customHeight="false" outlineLevel="0" collapsed="false">
      <c r="B111" s="5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1"/>
    </row>
    <row r="112" customFormat="false" ht="14.25" hidden="false" customHeight="false" outlineLevel="0" collapsed="false">
      <c r="B112" s="5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51"/>
    </row>
    <row r="113" customFormat="false" ht="14.25" hidden="false" customHeight="false" outlineLevel="0" collapsed="false">
      <c r="B113" s="50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1"/>
    </row>
    <row r="114" customFormat="false" ht="14.25" hidden="false" customHeight="false" outlineLevel="0" collapsed="false">
      <c r="B114" s="53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5"/>
    </row>
    <row r="117" customFormat="false" ht="14.25" hidden="false" customHeight="false" outlineLevel="0" collapsed="false">
      <c r="B117" s="47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9"/>
    </row>
    <row r="118" customFormat="false" ht="33.85" hidden="false" customHeight="false" outlineLevel="0" collapsed="false">
      <c r="B118" s="50"/>
      <c r="C118" s="52"/>
      <c r="D118" s="56" t="s">
        <v>68</v>
      </c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1"/>
    </row>
    <row r="119" customFormat="false" ht="14.25" hidden="false" customHeight="false" outlineLevel="0" collapsed="false">
      <c r="B119" s="50"/>
      <c r="C119" s="57"/>
      <c r="D119" s="58" t="str">
        <f aca="false" t="array" ref="D119:J119">'Gráficas SpeedUp'!C212:I212</f>
        <v># Hilos</v>
      </c>
      <c r="E119" s="58" t="str">
        <v>1 hilo</v>
      </c>
      <c r="F119" s="58" t="str">
        <v>2 hilos</v>
      </c>
      <c r="G119" s="58" t="str">
        <v>4 hilos</v>
      </c>
      <c r="H119" s="58" t="str">
        <v>8 hilos</v>
      </c>
      <c r="I119" s="58" t="str">
        <v>12 hilos</v>
      </c>
      <c r="J119" s="58" t="str">
        <v>32 hilos</v>
      </c>
      <c r="K119" s="52"/>
      <c r="L119" s="52"/>
      <c r="M119" s="52"/>
      <c r="N119" s="52"/>
      <c r="O119" s="51"/>
    </row>
    <row r="120" customFormat="false" ht="14.25" hidden="false" customHeight="false" outlineLevel="0" collapsed="false">
      <c r="B120" s="50"/>
      <c r="C120" s="45" t="s">
        <v>64</v>
      </c>
      <c r="D120" s="59" t="s">
        <v>47</v>
      </c>
      <c r="E120" s="52" t="n">
        <f aca="false" t="array" ref="E120:J120">'Gráficas SpeedUp'!D19:I19</f>
        <v>35940984</v>
      </c>
      <c r="F120" s="52" t="n">
        <v>17398136</v>
      </c>
      <c r="G120" s="52" t="n">
        <v>8122056</v>
      </c>
      <c r="H120" s="52" t="n">
        <v>4038148</v>
      </c>
      <c r="I120" s="52" t="n">
        <v>4690080</v>
      </c>
      <c r="J120" s="52" t="n">
        <v>4988742</v>
      </c>
      <c r="K120" s="52"/>
      <c r="L120" s="52"/>
      <c r="M120" s="52"/>
      <c r="N120" s="52"/>
      <c r="O120" s="51"/>
    </row>
    <row r="121" customFormat="false" ht="14.25" hidden="false" customHeight="false" outlineLevel="0" collapsed="false">
      <c r="B121" s="50"/>
      <c r="C121" s="45"/>
      <c r="D121" s="59" t="s">
        <v>65</v>
      </c>
      <c r="E121" s="52" t="n">
        <f aca="false" t="array" ref="E121:J121">'Gráficas SpeedUp'!D87:I87</f>
        <v>6492563</v>
      </c>
      <c r="F121" s="52" t="n">
        <v>3731810</v>
      </c>
      <c r="G121" s="52" t="n">
        <v>1983448</v>
      </c>
      <c r="H121" s="52" t="n">
        <v>1211021</v>
      </c>
      <c r="I121" s="52" t="n">
        <v>1176292</v>
      </c>
      <c r="J121" s="52" t="n">
        <v>820031</v>
      </c>
      <c r="K121" s="52"/>
      <c r="L121" s="52"/>
      <c r="M121" s="52"/>
      <c r="N121" s="52"/>
      <c r="O121" s="51"/>
    </row>
    <row r="122" customFormat="false" ht="14.25" hidden="false" customHeight="false" outlineLevel="0" collapsed="false">
      <c r="B122" s="50"/>
      <c r="C122" s="45"/>
      <c r="D122" s="59" t="s">
        <v>61</v>
      </c>
      <c r="E122" s="52" t="n">
        <f aca="false" t="array" ref="E122:J122">'Gráficas SpeedUp'!D155:I155</f>
        <v>40465061</v>
      </c>
      <c r="F122" s="52" t="n">
        <v>17410637</v>
      </c>
      <c r="G122" s="52" t="n">
        <v>8157912</v>
      </c>
      <c r="H122" s="52" t="n">
        <v>3991102</v>
      </c>
      <c r="I122" s="52" t="n">
        <v>4624809</v>
      </c>
      <c r="J122" s="52" t="n">
        <v>4707256</v>
      </c>
      <c r="K122" s="52"/>
      <c r="L122" s="52"/>
      <c r="M122" s="52"/>
      <c r="N122" s="52"/>
      <c r="O122" s="51"/>
    </row>
    <row r="123" customFormat="false" ht="14.25" hidden="false" customHeight="false" outlineLevel="0" collapsed="false">
      <c r="B123" s="50"/>
      <c r="C123" s="45"/>
      <c r="D123" s="59" t="s">
        <v>62</v>
      </c>
      <c r="E123" s="52" t="n">
        <f aca="false" t="array" ref="E123:J123">'Gráficas SpeedUp'!D223:I223</f>
        <v>6393769</v>
      </c>
      <c r="F123" s="52" t="n">
        <v>3620786</v>
      </c>
      <c r="G123" s="52" t="n">
        <v>1918788</v>
      </c>
      <c r="H123" s="52" t="n">
        <v>1207817</v>
      </c>
      <c r="I123" s="52" t="n">
        <v>1157945</v>
      </c>
      <c r="J123" s="52" t="n">
        <v>681415</v>
      </c>
      <c r="K123" s="52"/>
      <c r="L123" s="52"/>
      <c r="M123" s="52"/>
      <c r="N123" s="52"/>
      <c r="O123" s="51"/>
    </row>
    <row r="124" customFormat="false" ht="14.25" hidden="false" customHeight="false" outlineLevel="0" collapsed="false">
      <c r="B124" s="50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1"/>
    </row>
    <row r="125" customFormat="false" ht="14.25" hidden="false" customHeight="false" outlineLevel="0" collapsed="false">
      <c r="B125" s="50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1"/>
    </row>
    <row r="126" customFormat="false" ht="14.25" hidden="false" customHeight="false" outlineLevel="0" collapsed="false">
      <c r="B126" s="50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1"/>
    </row>
    <row r="127" customFormat="false" ht="14.25" hidden="false" customHeight="false" outlineLevel="0" collapsed="false">
      <c r="B127" s="50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1"/>
    </row>
    <row r="128" customFormat="false" ht="14.25" hidden="false" customHeight="false" outlineLevel="0" collapsed="false">
      <c r="B128" s="50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1"/>
    </row>
    <row r="129" customFormat="false" ht="14.25" hidden="false" customHeight="false" outlineLevel="0" collapsed="false">
      <c r="B129" s="50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1"/>
    </row>
    <row r="130" customFormat="false" ht="14.25" hidden="false" customHeight="false" outlineLevel="0" collapsed="false">
      <c r="B130" s="50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1"/>
    </row>
    <row r="131" customFormat="false" ht="14.25" hidden="false" customHeight="false" outlineLevel="0" collapsed="false">
      <c r="B131" s="50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1"/>
    </row>
    <row r="132" customFormat="false" ht="14.25" hidden="false" customHeight="false" outlineLevel="0" collapsed="false">
      <c r="B132" s="50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1"/>
    </row>
    <row r="133" customFormat="false" ht="14.25" hidden="false" customHeight="false" outlineLevel="0" collapsed="false">
      <c r="B133" s="50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1"/>
    </row>
    <row r="134" customFormat="false" ht="14.25" hidden="false" customHeight="false" outlineLevel="0" collapsed="false">
      <c r="B134" s="50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1"/>
    </row>
    <row r="135" customFormat="false" ht="14.25" hidden="false" customHeight="false" outlineLevel="0" collapsed="false">
      <c r="B135" s="50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1"/>
    </row>
    <row r="136" customFormat="false" ht="14.25" hidden="false" customHeight="false" outlineLevel="0" collapsed="false">
      <c r="B136" s="50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1"/>
    </row>
    <row r="137" customFormat="false" ht="14.25" hidden="false" customHeight="false" outlineLevel="0" collapsed="false">
      <c r="B137" s="50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1"/>
    </row>
    <row r="138" customFormat="false" ht="14.25" hidden="false" customHeight="false" outlineLevel="0" collapsed="false">
      <c r="B138" s="50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1"/>
    </row>
    <row r="139" customFormat="false" ht="14.25" hidden="false" customHeight="false" outlineLevel="0" collapsed="false">
      <c r="B139" s="50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1"/>
    </row>
    <row r="140" customFormat="false" ht="14.25" hidden="false" customHeight="false" outlineLevel="0" collapsed="false">
      <c r="B140" s="50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1"/>
    </row>
    <row r="141" customFormat="false" ht="14.25" hidden="false" customHeight="false" outlineLevel="0" collapsed="false">
      <c r="B141" s="50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1"/>
    </row>
    <row r="142" customFormat="false" ht="14.25" hidden="false" customHeight="false" outlineLevel="0" collapsed="false">
      <c r="B142" s="50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1"/>
    </row>
    <row r="143" customFormat="false" ht="14.25" hidden="false" customHeight="false" outlineLevel="0" collapsed="false">
      <c r="B143" s="50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1"/>
    </row>
    <row r="144" customFormat="false" ht="14.25" hidden="false" customHeight="false" outlineLevel="0" collapsed="false">
      <c r="B144" s="50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1"/>
    </row>
    <row r="145" customFormat="false" ht="14.25" hidden="false" customHeight="false" outlineLevel="0" collapsed="false">
      <c r="B145" s="50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1"/>
    </row>
    <row r="146" customFormat="false" ht="14.25" hidden="false" customHeight="false" outlineLevel="0" collapsed="false">
      <c r="B146" s="50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1"/>
    </row>
    <row r="147" customFormat="false" ht="14.25" hidden="false" customHeight="false" outlineLevel="0" collapsed="false">
      <c r="B147" s="50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1"/>
    </row>
    <row r="148" customFormat="false" ht="14.25" hidden="false" customHeight="false" outlineLevel="0" collapsed="false">
      <c r="B148" s="50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1"/>
    </row>
    <row r="149" customFormat="false" ht="14.25" hidden="false" customHeight="false" outlineLevel="0" collapsed="false">
      <c r="B149" s="50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1"/>
    </row>
    <row r="150" customFormat="false" ht="14.25" hidden="false" customHeight="false" outlineLevel="0" collapsed="false">
      <c r="B150" s="50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1"/>
    </row>
    <row r="151" customFormat="false" ht="14.25" hidden="false" customHeight="false" outlineLevel="0" collapsed="false">
      <c r="B151" s="50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1"/>
    </row>
    <row r="152" customFormat="false" ht="14.25" hidden="false" customHeight="false" outlineLevel="0" collapsed="false">
      <c r="B152" s="53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5"/>
    </row>
  </sheetData>
  <mergeCells count="4">
    <mergeCell ref="C6:C9"/>
    <mergeCell ref="C44:C47"/>
    <mergeCell ref="C82:C85"/>
    <mergeCell ref="C120:C1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2025-11-03T08:10:09Z</dcterms:created>
  <dc:creator>Daniel Felipe Ramirez Vargas</dc:creator>
  <dc:description/>
  <dc:language>es-CO</dc:language>
  <cp:lastModifiedBy/>
  <dcterms:modified xsi:type="dcterms:W3CDTF">2026-04-27T22:38:07Z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